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</sheets>
  <definedNames>
    <definedName hidden="1" localSheetId="0" name="_xlnm._FilterDatabase">ENERO!$A$1:$K$199</definedName>
    <definedName hidden="1" localSheetId="1" name="_xlnm._FilterDatabase">FEBRERO!$A$1:$K$198</definedName>
    <definedName hidden="1" localSheetId="2" name="_xlnm._FilterDatabase">MARZO!$A$1:$K$198</definedName>
  </definedNames>
  <calcPr/>
  <extLst>
    <ext uri="GoogleSheetsCustomDataVersion2">
      <go:sheetsCustomData xmlns:go="http://customooxmlschemas.google.com/" r:id="rId7" roundtripDataChecksum="V90wqgy/JtFHEqCFKkHAiGadGd2PcsVwyVqp8Q5C2LQ="/>
    </ext>
  </extLst>
</workbook>
</file>

<file path=xl/sharedStrings.xml><?xml version="1.0" encoding="utf-8"?>
<sst xmlns="http://schemas.openxmlformats.org/spreadsheetml/2006/main" count="1797" uniqueCount="324">
  <si>
    <t xml:space="preserve">FECHA </t>
  </si>
  <si>
    <t>CLIENTES/ ASUNTO</t>
  </si>
  <si>
    <t>MODALIDAD</t>
  </si>
  <si>
    <t>TIPO</t>
  </si>
  <si>
    <t>FUENTE</t>
  </si>
  <si>
    <t>CLIENTE</t>
  </si>
  <si>
    <t>INGRESOS CAEGORIA</t>
  </si>
  <si>
    <t xml:space="preserve">RODRI </t>
  </si>
  <si>
    <t>NOE</t>
  </si>
  <si>
    <t>ALE</t>
  </si>
  <si>
    <t>FABRI</t>
  </si>
  <si>
    <t xml:space="preserve">CJ NOA EFECTIVO </t>
  </si>
  <si>
    <t>CJ TRANSFERENCIAS</t>
  </si>
  <si>
    <t>CLIENTES TOTALES</t>
  </si>
  <si>
    <t>CABERO CLAUDIA</t>
  </si>
  <si>
    <t>TRANSFERENCIA</t>
  </si>
  <si>
    <t>OTROS</t>
  </si>
  <si>
    <t>DERIVADO</t>
  </si>
  <si>
    <t>VIEJO</t>
  </si>
  <si>
    <t>HONORARIOS</t>
  </si>
  <si>
    <t>RODRI</t>
  </si>
  <si>
    <t>TOTAL</t>
  </si>
  <si>
    <t>%</t>
  </si>
  <si>
    <t>CHOCOBAR NICOLAS</t>
  </si>
  <si>
    <t>SUCESORIO</t>
  </si>
  <si>
    <t>META PERSONAL</t>
  </si>
  <si>
    <t>MENDEZ WALTER</t>
  </si>
  <si>
    <t>EFECTIVO</t>
  </si>
  <si>
    <t>REALES</t>
  </si>
  <si>
    <t>DEL TOTAL RECAUDADO</t>
  </si>
  <si>
    <t xml:space="preserve">TOTAL EGRESOS
</t>
  </si>
  <si>
    <t>100 agarro noe y se anoto como transferencia el 21/01</t>
  </si>
  <si>
    <t>{</t>
  </si>
  <si>
    <t xml:space="preserve">ALCOB HERNÁN </t>
  </si>
  <si>
    <t>JUBILACIONES</t>
  </si>
  <si>
    <t>TOTAL INGRESOS</t>
  </si>
  <si>
    <t>MARTIN BORROSO</t>
  </si>
  <si>
    <t>UCAP</t>
  </si>
  <si>
    <t xml:space="preserve">EL GORDITO </t>
  </si>
  <si>
    <t>TOTAL A REPARTIR</t>
  </si>
  <si>
    <t>CREDITOS</t>
  </si>
  <si>
    <t>VILLA GÓMEZ</t>
  </si>
  <si>
    <t>C/U</t>
  </si>
  <si>
    <t>DIVORCIOS</t>
  </si>
  <si>
    <t>EZEQUIEL</t>
  </si>
  <si>
    <t>NUEVO</t>
  </si>
  <si>
    <t>CONSULTA</t>
  </si>
  <si>
    <t>DANIEL ALVARADO</t>
  </si>
  <si>
    <t>CAJA CJ DICIEMBRE</t>
  </si>
  <si>
    <t>META GRUPAL</t>
  </si>
  <si>
    <t xml:space="preserve">GASTOS TRANSFERENCIA </t>
  </si>
  <si>
    <t>TOTAL EN C/CUENTA</t>
  </si>
  <si>
    <t>HECHO HASTA EL 01/01</t>
  </si>
  <si>
    <t>MANDAR A..</t>
  </si>
  <si>
    <t>TOMASA RUEDA</t>
  </si>
  <si>
    <t>CAMPAÑA</t>
  </si>
  <si>
    <t>COSTILL ERNESTO</t>
  </si>
  <si>
    <t>320000 pero sacar 180 para pagar los 60 que falta de cada uno</t>
  </si>
  <si>
    <t xml:space="preserve">ALVARDO DANIEL CARTA DOCUMENTO </t>
  </si>
  <si>
    <t>CLIENTES COBRADOS</t>
  </si>
  <si>
    <t>DOCTORES</t>
  </si>
  <si>
    <t xml:space="preserve">TRANSFERENCIA </t>
  </si>
  <si>
    <t xml:space="preserve">EFECTIVO </t>
  </si>
  <si>
    <t>YURQUINA VIOLANDA</t>
  </si>
  <si>
    <t>PEREZ GABRIELA</t>
  </si>
  <si>
    <t>S11,12,13,14+ de los que recibio, o - si otro recibio por el</t>
  </si>
  <si>
    <t>SAMBONI (TODO A RODRI)</t>
  </si>
  <si>
    <t>TOTAL A REPARTIR %65</t>
  </si>
  <si>
    <t>SANTOS (DOCENTE)</t>
  </si>
  <si>
    <t xml:space="preserve">FABRI </t>
  </si>
  <si>
    <t>CADA UNO</t>
  </si>
  <si>
    <t>SAMBONI VIUMI (REAJUSE DOCENTE)</t>
  </si>
  <si>
    <t xml:space="preserve">TOTAL </t>
  </si>
  <si>
    <t>TTOAL A REPARTIR %35</t>
  </si>
  <si>
    <t>COBRAMOS C/U</t>
  </si>
  <si>
    <t>ROSA VALDIVIEZO</t>
  </si>
  <si>
    <t>EFECTIVO + CAJA</t>
  </si>
  <si>
    <t>MAMANI JULIO</t>
  </si>
  <si>
    <t>MONTO</t>
  </si>
  <si>
    <t>GUANUCO</t>
  </si>
  <si>
    <t>RECAUDACIÓN</t>
  </si>
  <si>
    <t>TOTAL EN CAJA = (EFECT + CAJA) - EFECT. CJ GASTOS</t>
  </si>
  <si>
    <t>OCTAVIA QUISPE</t>
  </si>
  <si>
    <t>TOTAL RECAUDACIÓN + CAJA</t>
  </si>
  <si>
    <t>TINTILAY</t>
  </si>
  <si>
    <t xml:space="preserve">       </t>
  </si>
  <si>
    <t xml:space="preserve"> GASTOS</t>
  </si>
  <si>
    <t>UNCO LILIANA</t>
  </si>
  <si>
    <t>FECHA</t>
  </si>
  <si>
    <t>ASUNTO</t>
  </si>
  <si>
    <t>DE DONDE SALIÓ</t>
  </si>
  <si>
    <t>GASTO</t>
  </si>
  <si>
    <t>MONTO CJ NOA</t>
  </si>
  <si>
    <t>MONTO DOCTORES</t>
  </si>
  <si>
    <t>PALAVECINO (TODO A RODRI)</t>
  </si>
  <si>
    <t>SUELDO KARI</t>
  </si>
  <si>
    <t>FIJOS MENSUALES</t>
  </si>
  <si>
    <t>TRANSFERENCIA RODRI</t>
  </si>
  <si>
    <t xml:space="preserve">TOTAL ALQ. + LIMSA </t>
  </si>
  <si>
    <t>TOTAL SERVICIOS</t>
  </si>
  <si>
    <t xml:space="preserve">SIEMPRE EN DIGITAL LOS SERVICIOS </t>
  </si>
  <si>
    <t>SANCHEZ</t>
  </si>
  <si>
    <t xml:space="preserve">SUELDO MELANI </t>
  </si>
  <si>
    <t>ARIAS MAXIMILIANO</t>
  </si>
  <si>
    <t xml:space="preserve">SUELDO ALVARO </t>
  </si>
  <si>
    <t>TRANSFERENCIA NOE</t>
  </si>
  <si>
    <t>LOPEZ CAMILA</t>
  </si>
  <si>
    <t>ALQUILER YRIGOYEN</t>
  </si>
  <si>
    <t>CJ NOA</t>
  </si>
  <si>
    <t>TOAL GENERAL</t>
  </si>
  <si>
    <t>CUSSI CRISTIAN</t>
  </si>
  <si>
    <t>ALQUILER NEWBERY</t>
  </si>
  <si>
    <t>TRANFERENCIA ALE</t>
  </si>
  <si>
    <t>MAMANI CARMEN</t>
  </si>
  <si>
    <t>EJESA YRIGOYEN</t>
  </si>
  <si>
    <t>FEDERICO PUENTES</t>
  </si>
  <si>
    <t>EJESA NEWBERY</t>
  </si>
  <si>
    <t>TRANSFERENCIA FABRI</t>
  </si>
  <si>
    <t>TOTAL INGRESO</t>
  </si>
  <si>
    <t>TOTAL EGRESO</t>
  </si>
  <si>
    <t>DAFNE CABRER</t>
  </si>
  <si>
    <t>GAS YRIOGOYEN</t>
  </si>
  <si>
    <t>CASTRO LUIS (MILAGROS)</t>
  </si>
  <si>
    <t>LIMSA</t>
  </si>
  <si>
    <t>EFECTIVO CJ DESDE 39</t>
  </si>
  <si>
    <t>VISUALIZACION DE METRICAS</t>
  </si>
  <si>
    <t>NOEMI VILLEGAS</t>
  </si>
  <si>
    <t>MACRO VISA / viumi sillas .../9, wi fi newery, materiales mesas, extras) (RODRI)</t>
  </si>
  <si>
    <t>DOCTORES:</t>
  </si>
  <si>
    <t>EL GORDITO (TODO A RODRI)</t>
  </si>
  <si>
    <t>MACRO IMPRESORA  7/9 (ALE)</t>
  </si>
  <si>
    <t>CLIENTES</t>
  </si>
  <si>
    <t>WIFI NEWBERY (ALE)</t>
  </si>
  <si>
    <t>MONTO CONSULTAS</t>
  </si>
  <si>
    <t>WI FI YRIGOYEN (RODRI) en noviembre se pago 30000</t>
  </si>
  <si>
    <t>MONTO HONORARIOS</t>
  </si>
  <si>
    <t>CUTUREL</t>
  </si>
  <si>
    <t>MONTO GENERADO</t>
  </si>
  <si>
    <t xml:space="preserve">DELIA LIMPIEZA </t>
  </si>
  <si>
    <t>EXTRAS</t>
  </si>
  <si>
    <t>% META  PERSONAL</t>
  </si>
  <si>
    <t>ELEMENTOS LIBRERIA</t>
  </si>
  <si>
    <t>% META GRUPAL.</t>
  </si>
  <si>
    <t>GASTOS JUDICIALES</t>
  </si>
  <si>
    <t>%TOTAL INGRESO</t>
  </si>
  <si>
    <t xml:space="preserve">MATI COLECTIVO </t>
  </si>
  <si>
    <t>CD ALIMENTOS PALAVECINO</t>
  </si>
  <si>
    <t>JUDICIALES</t>
  </si>
  <si>
    <t>MONOTRIBUTO KARI</t>
  </si>
  <si>
    <t>CUENTAS</t>
  </si>
  <si>
    <t>GASTOS PUENTES</t>
  </si>
  <si>
    <t>TOTA A REPARTIR</t>
  </si>
  <si>
    <t xml:space="preserve">TOTAL CAJA EFECTIVO </t>
  </si>
  <si>
    <t>%65 TOTAL A REPARTIR</t>
  </si>
  <si>
    <t>%35 TOTAL A REPARTIR</t>
  </si>
  <si>
    <t>CHINCHES, FOCOS, PILAS, HUEVO</t>
  </si>
  <si>
    <t>65% / 4 FIJO</t>
  </si>
  <si>
    <t>INFORMES MELANI</t>
  </si>
  <si>
    <t>35% / 4 Según % INGRESO</t>
  </si>
  <si>
    <t>DESAYUNO PROTEICO</t>
  </si>
  <si>
    <t>MONTO A COBRAR</t>
  </si>
  <si>
    <t>UBER ALVARO</t>
  </si>
  <si>
    <t xml:space="preserve">CART DOCUMENTO PALAVECINO </t>
  </si>
  <si>
    <t>TRANSFERENCIAS</t>
  </si>
  <si>
    <t>GASTOS MENSUALES</t>
  </si>
  <si>
    <t>ALIMENTOS VALDIVIEZO</t>
  </si>
  <si>
    <t xml:space="preserve">TOTAL TRANSFERENCIA </t>
  </si>
  <si>
    <t>PUENTES JUEZ DE PAZ</t>
  </si>
  <si>
    <t>RESUMEN DE COBRO</t>
  </si>
  <si>
    <t>ALQUILER LA QUIACA</t>
  </si>
  <si>
    <t>DAFNE CABRERA</t>
  </si>
  <si>
    <t>EXCEDENTE EN CONTRA</t>
  </si>
  <si>
    <t>CUSSI DILIGENCIA</t>
  </si>
  <si>
    <t xml:space="preserve"> </t>
  </si>
  <si>
    <t>BARRETO</t>
  </si>
  <si>
    <t>META ADS</t>
  </si>
  <si>
    <t>CUASSI DILIGENCIA</t>
  </si>
  <si>
    <t>EMPANDAS</t>
  </si>
  <si>
    <t xml:space="preserve">UBER NOE Y ÁLVARO </t>
  </si>
  <si>
    <t>INFOEXPERTO</t>
  </si>
  <si>
    <t>ALQUILER</t>
  </si>
  <si>
    <t>DIVORCIO</t>
  </si>
  <si>
    <t>RUEDA TOMASA</t>
  </si>
  <si>
    <t>COPA JORGE</t>
  </si>
  <si>
    <t>LLAMPA AMALIA</t>
  </si>
  <si>
    <t>REGUILON (50 ALE EFECTIVO)</t>
  </si>
  <si>
    <t>MORALES WARA</t>
  </si>
  <si>
    <t>GUANUCO MARIA</t>
  </si>
  <si>
    <t>GUIA PASO A PASO</t>
  </si>
  <si>
    <t>GUIA PASO A PASO (TODO A RODRI)</t>
  </si>
  <si>
    <t>CABERO</t>
  </si>
  <si>
    <t>CAJA CJ DEL MES ANTERIOR</t>
  </si>
  <si>
    <t>HECHO HASTA EL 16/03</t>
  </si>
  <si>
    <t>MARTINEZ RAMIRO</t>
  </si>
  <si>
    <t>FERRETI NORS</t>
  </si>
  <si>
    <t>KUNTSCHIK</t>
  </si>
  <si>
    <t>FERNANDEZ JOSE</t>
  </si>
  <si>
    <t>RAMOS WALTER</t>
  </si>
  <si>
    <t>PELOC HECTOR (RESERVA TURNO)</t>
  </si>
  <si>
    <t>MAMANI Y FLORES (TODO A RODRI)</t>
  </si>
  <si>
    <t>MAMANI Y FLORES (VIUMI NOE)</t>
  </si>
  <si>
    <t>SAMBONI (VIUMI NOE)</t>
  </si>
  <si>
    <t>FLORES JULIAN (TODO A ALE)</t>
  </si>
  <si>
    <t>(ALE TIENE 300 TRANF CELU)</t>
  </si>
  <si>
    <t>TOTAL ALQUILER</t>
  </si>
  <si>
    <t>KUNTSCHICK MARIANELA</t>
  </si>
  <si>
    <t>ERAZO (MILAGROS INFORME REAJUSTE)</t>
  </si>
  <si>
    <t>SR. HIPOLITO PUAM (MILAGROS)</t>
  </si>
  <si>
    <t>BONIFACIA SAJAMA</t>
  </si>
  <si>
    <t>VILMA LEON</t>
  </si>
  <si>
    <t>CHOQUE TINTILAY</t>
  </si>
  <si>
    <t>FLORES AGAPITA</t>
  </si>
  <si>
    <t>QUISPE OCTAVIA</t>
  </si>
  <si>
    <t>MACHACA ALICIA (20.000 A RODRI)</t>
  </si>
  <si>
    <t>OCHA ESTEVAN</t>
  </si>
  <si>
    <t xml:space="preserve"> CRUZ GUILLERMINA (PAGO COMPROMISO)</t>
  </si>
  <si>
    <t>SIMO MARIA</t>
  </si>
  <si>
    <t>MAXI ARIAS</t>
  </si>
  <si>
    <t>MATI COLECTIVO</t>
  </si>
  <si>
    <t>VARGAS JUANA RAQUEL</t>
  </si>
  <si>
    <t>RENOVACION JAUREGUI 1/3) SE SACO DE CJ</t>
  </si>
  <si>
    <t>HERRERA LOURDES (reserva turno)</t>
  </si>
  <si>
    <t>ANUNCIOS</t>
  </si>
  <si>
    <t>PUENTES FEDERICO (%CLAUDIO)</t>
  </si>
  <si>
    <t>UBER MELANI</t>
  </si>
  <si>
    <t>MENDEZ Orlando</t>
  </si>
  <si>
    <t>PAGARE ARAMAYO</t>
  </si>
  <si>
    <t>QUISPE HECTOR</t>
  </si>
  <si>
    <t>DELIA LIMPIEZA</t>
  </si>
  <si>
    <t>HNOS VALDIVIEZO</t>
  </si>
  <si>
    <t>KARI FIAMBRES</t>
  </si>
  <si>
    <t>AMALIA UCAP CAMPAÑA (TRANSF. CASIMIRO) RESERVA INFORME</t>
  </si>
  <si>
    <t>PAGARE VILMA LEON</t>
  </si>
  <si>
    <t>SALAVERON RAMIRO (TODO A RODRI)</t>
  </si>
  <si>
    <t>OLAGUIVEL NADIA</t>
  </si>
  <si>
    <t>CURTYS</t>
  </si>
  <si>
    <t xml:space="preserve">RESMA </t>
  </si>
  <si>
    <t>CEDULA PARCELARIA GALARZA</t>
  </si>
  <si>
    <t>CORTE DE PASTO</t>
  </si>
  <si>
    <t>MATI EDICIONES Y SEMANA PASADA</t>
  </si>
  <si>
    <t>GOOGLE WORKSPACE Y HERRAMIENTAS</t>
  </si>
  <si>
    <t>ISA COMISION SALAZAR</t>
  </si>
  <si>
    <t>CD ALVAREZ</t>
  </si>
  <si>
    <t>LIMPIEZA</t>
  </si>
  <si>
    <t>GASTOS FERNANDEZ JOSE</t>
  </si>
  <si>
    <t>CD URZAGASTI</t>
  </si>
  <si>
    <t>PEREZ GABRIELA  TASA</t>
  </si>
  <si>
    <t>ALVARO SAN PEDRO GASTOS JUDICIALES</t>
  </si>
  <si>
    <t>GASTOS ARMIJO</t>
  </si>
  <si>
    <t>LEON MATIAS</t>
  </si>
  <si>
    <t>APORTES BARRERA</t>
  </si>
  <si>
    <t>GASTOS BARRERA</t>
  </si>
  <si>
    <t>valuacion fiscal</t>
  </si>
  <si>
    <t>campaña</t>
  </si>
  <si>
    <t>cd barrera y formularios</t>
  </si>
  <si>
    <t>MENDEZ ZULMA</t>
  </si>
  <si>
    <t>SECUNDINA SALAS</t>
  </si>
  <si>
    <t>SAJAMA GLORIA</t>
  </si>
  <si>
    <t>PALAVECIONO RAMONA</t>
  </si>
  <si>
    <t>CRUZ GUILLERMINA (TILCARA)</t>
  </si>
  <si>
    <t>FACUNDO LOPEZ (RESERVA TURNO)</t>
  </si>
  <si>
    <t xml:space="preserve">FACUNDO LOPEZ </t>
  </si>
  <si>
    <t>GARZON</t>
  </si>
  <si>
    <t>PASCUAL CUSSI</t>
  </si>
  <si>
    <t>HECHO HASTA EL 11/04</t>
  </si>
  <si>
    <t>CARRASCO TOMAS</t>
  </si>
  <si>
    <t>LOPEZ FACUNDO</t>
  </si>
  <si>
    <t>ROBLES SUSANA</t>
  </si>
  <si>
    <t>LLAMPA CARMEN ROSA</t>
  </si>
  <si>
    <t>MACHACA ALICIA ( UCAP - JUBI)</t>
  </si>
  <si>
    <t>SE PASO A TRANSF</t>
  </si>
  <si>
    <t>NORMA (MAMA GASPER)</t>
  </si>
  <si>
    <t>NORA LEYTON  (DESCONTADO LOS 24 Y SUMADO A ROBLES DE LA QUIACA)</t>
  </si>
  <si>
    <t>DESCONTADO LOS 24 Y SUMADO A ROBLES DE LA QUIACA</t>
  </si>
  <si>
    <t>GUTIERREZ SOLEDAD</t>
  </si>
  <si>
    <t>DIAS LUISA (SEÑA CONSULTA)</t>
  </si>
  <si>
    <t>VUZCARRA ANDREA (VIUMI ALE)</t>
  </si>
  <si>
    <t>CLAUDIO GUERRERO CURTYS</t>
  </si>
  <si>
    <t>DIAS LUISA (AL RODRI)</t>
  </si>
  <si>
    <t>LEON VILMA SERVICIOS Y ALQUILER</t>
  </si>
  <si>
    <t>LUNA SONIA (ESPOSA DIAZ)</t>
  </si>
  <si>
    <t xml:space="preserve">MAMANI INES </t>
  </si>
  <si>
    <t>MAMANI EVARISTO (ALCIRA)</t>
  </si>
  <si>
    <t>SAMBONI (REDACCIÓN ESCRITO) VIUMI ALE</t>
  </si>
  <si>
    <t>SAMBONI ( 3ER CUOTA REAJUSTE) VIUMI ALE</t>
  </si>
  <si>
    <t xml:space="preserve">EFECTIVO CJ </t>
  </si>
  <si>
    <t>Gutiérrez Antonio</t>
  </si>
  <si>
    <t>Carrasco Rosmary</t>
  </si>
  <si>
    <t>Pascual cussi</t>
  </si>
  <si>
    <t>Mamani Raquel</t>
  </si>
  <si>
    <t>Chocobaar Nicolas</t>
  </si>
  <si>
    <t>SE ENVIO 100 DE RESRVA RODRI A RODRI $100.000 HACER OTRAS CUENTAS</t>
  </si>
  <si>
    <t>100 DE RESRVA RODRI (OTRAS CUENTAS)</t>
  </si>
  <si>
    <t>Secundina Salas</t>
  </si>
  <si>
    <t xml:space="preserve">CAUTELAR LEON </t>
  </si>
  <si>
    <t>GASTOS RETAMOZO</t>
  </si>
  <si>
    <t>CEDULA RETAMOZO</t>
  </si>
  <si>
    <t>343000 SE SACA DE LOS FONDOS</t>
  </si>
  <si>
    <t>2DA CUOTA JAUREGUI</t>
  </si>
  <si>
    <t>MATI LEON</t>
  </si>
  <si>
    <t>PLUMERO Y TONNER</t>
  </si>
  <si>
    <t>AUMENTO DE ALQUILER</t>
  </si>
  <si>
    <t>PAGO SALON DE CHARLA</t>
  </si>
  <si>
    <t>TRANSF A MILAGROS</t>
  </si>
  <si>
    <t>VINILO, PUNTURA Y MANO DE OBRA ARIEL</t>
  </si>
  <si>
    <t>GASTOS SEÑORITAS</t>
  </si>
  <si>
    <t>NAFTA LA QUIACA</t>
  </si>
  <si>
    <t>COMIDA LA QUIACA</t>
  </si>
  <si>
    <t>ALQUILER MILAGROS.</t>
  </si>
  <si>
    <t xml:space="preserve">NAFTA LA QUIACA CON RODRI </t>
  </si>
  <si>
    <t>VIATICOS LA QUIACA CON RODRI</t>
  </si>
  <si>
    <t xml:space="preserve">11 GASTOS ALE </t>
  </si>
  <si>
    <t>CONTRATACIÓN DE FREEPEK</t>
  </si>
  <si>
    <t>propaganda de la quiaca</t>
  </si>
  <si>
    <t>Pago Mati ediciones</t>
  </si>
  <si>
    <t>viaticos LA QUIACA</t>
  </si>
  <si>
    <t>pasaje y gastos abrapampa</t>
  </si>
  <si>
    <t>delia limpiezaa</t>
  </si>
  <si>
    <t>tik tok ads</t>
  </si>
  <si>
    <t>nafta ale</t>
  </si>
  <si>
    <t>Entrevista Pago ale</t>
  </si>
  <si>
    <t>SERVICIOS EXTRAS</t>
  </si>
  <si>
    <t>ALVARO COMISION SAMBONI</t>
  </si>
  <si>
    <t>FALTANTE CAJA CJ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</si>
</sst>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d/M/yyyy"/>
    <numFmt numFmtId="166" formatCode="dd/m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3.0"/>
      <color theme="1"/>
      <name val="Calibri"/>
    </font>
    <font/>
  </fonts>
  <fills count="20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0" fillId="0" fontId="1" numFmtId="0" xfId="0" applyFont="1"/>
    <xf borderId="1" fillId="5" fontId="2" numFmtId="0" xfId="0" applyBorder="1" applyFill="1" applyFont="1"/>
    <xf borderId="1" fillId="0" fontId="3" numFmtId="0" xfId="0" applyBorder="1" applyFont="1"/>
    <xf borderId="1" fillId="0" fontId="3" numFmtId="14" xfId="0" applyBorder="1" applyFont="1" applyNumberFormat="1"/>
    <xf borderId="1" fillId="0" fontId="4" numFmtId="0" xfId="0" applyBorder="1" applyFont="1"/>
    <xf borderId="1" fillId="0" fontId="1" numFmtId="0" xfId="0" applyBorder="1" applyFont="1"/>
    <xf borderId="1" fillId="0" fontId="1" numFmtId="164" xfId="0" applyBorder="1" applyFont="1" applyNumberFormat="1"/>
    <xf borderId="2" fillId="0" fontId="3" numFmtId="0" xfId="0" applyBorder="1" applyFont="1"/>
    <xf borderId="3" fillId="0" fontId="3" numFmtId="0" xfId="0" applyBorder="1" applyFont="1"/>
    <xf borderId="1" fillId="0" fontId="2" numFmtId="0" xfId="0" applyBorder="1" applyFont="1"/>
    <xf borderId="0" fillId="5" fontId="2" numFmtId="0" xfId="0" applyFont="1"/>
    <xf borderId="1" fillId="6" fontId="2" numFmtId="0" xfId="0" applyBorder="1" applyFill="1" applyFont="1"/>
    <xf borderId="0" fillId="0" fontId="3" numFmtId="10" xfId="0" applyFont="1" applyNumberFormat="1"/>
    <xf borderId="0" fillId="0" fontId="2" numFmtId="10" xfId="0" applyFont="1" applyNumberFormat="1"/>
    <xf borderId="1" fillId="7" fontId="4" numFmtId="0" xfId="0" applyBorder="1" applyFill="1" applyFont="1"/>
    <xf borderId="1" fillId="7" fontId="1" numFmtId="0" xfId="0" applyBorder="1" applyFont="1"/>
    <xf borderId="1" fillId="8" fontId="5" numFmtId="0" xfId="0" applyBorder="1" applyFill="1" applyFont="1"/>
    <xf borderId="1" fillId="0" fontId="5" numFmtId="164" xfId="0" applyBorder="1" applyFont="1" applyNumberFormat="1"/>
    <xf borderId="0" fillId="7" fontId="2" numFmtId="0" xfId="0" applyFont="1"/>
    <xf borderId="0" fillId="0" fontId="3" numFmtId="0" xfId="0" applyFont="1"/>
    <xf borderId="0" fillId="8" fontId="5" numFmtId="0" xfId="0" applyFont="1"/>
    <xf borderId="0" fillId="0" fontId="5" numFmtId="164" xfId="0" applyFont="1" applyNumberFormat="1"/>
    <xf borderId="1" fillId="9" fontId="5" numFmtId="0" xfId="0" applyBorder="1" applyFill="1" applyFont="1"/>
    <xf borderId="1" fillId="10" fontId="4" numFmtId="0" xfId="0" applyBorder="1" applyFill="1" applyFont="1"/>
    <xf borderId="1" fillId="10" fontId="1" numFmtId="0" xfId="0" applyBorder="1" applyFont="1"/>
    <xf borderId="1" fillId="3" fontId="2" numFmtId="0" xfId="0" applyBorder="1" applyFont="1"/>
    <xf borderId="1" fillId="11" fontId="2" numFmtId="0" xfId="0" applyBorder="1" applyFill="1" applyFont="1"/>
    <xf borderId="0" fillId="0" fontId="2" numFmtId="0" xfId="0" applyFont="1"/>
    <xf borderId="0" fillId="0" fontId="2" numFmtId="164" xfId="0" applyFont="1" applyNumberFormat="1"/>
    <xf borderId="4" fillId="11" fontId="2" numFmtId="0" xfId="0" applyBorder="1" applyFont="1"/>
    <xf borderId="1" fillId="11" fontId="2" numFmtId="0" xfId="0" applyAlignment="1" applyBorder="1" applyFont="1">
      <alignment horizontal="center"/>
    </xf>
    <xf borderId="4" fillId="0" fontId="2" numFmtId="0" xfId="0" applyBorder="1" applyFont="1"/>
    <xf borderId="1" fillId="8" fontId="4" numFmtId="0" xfId="0" applyBorder="1" applyFont="1"/>
    <xf borderId="1" fillId="8" fontId="1" numFmtId="0" xfId="0" applyBorder="1" applyFont="1"/>
    <xf borderId="1" fillId="11" fontId="2" numFmtId="164" xfId="0" applyBorder="1" applyFont="1" applyNumberFormat="1"/>
    <xf borderId="1" fillId="0" fontId="2" numFmtId="164" xfId="0" applyBorder="1" applyFont="1" applyNumberFormat="1"/>
    <xf borderId="1" fillId="0" fontId="6" numFmtId="0" xfId="0" applyBorder="1" applyFont="1"/>
    <xf borderId="1" fillId="0" fontId="2" numFmtId="164" xfId="0" applyAlignment="1" applyBorder="1" applyFont="1" applyNumberFormat="1">
      <alignment horizontal="center"/>
    </xf>
    <xf borderId="1" fillId="12" fontId="6" numFmtId="164" xfId="0" applyBorder="1" applyFill="1" applyFont="1" applyNumberFormat="1"/>
    <xf borderId="1" fillId="0" fontId="6" numFmtId="164" xfId="0" applyBorder="1" applyFont="1" applyNumberFormat="1"/>
    <xf borderId="5" fillId="13" fontId="6" numFmtId="0" xfId="0" applyBorder="1" applyFill="1" applyFont="1"/>
    <xf borderId="6" fillId="13" fontId="6" numFmtId="0" xfId="0" applyBorder="1" applyFont="1"/>
    <xf borderId="7" fillId="13" fontId="6" numFmtId="0" xfId="0" applyBorder="1" applyFont="1"/>
    <xf borderId="1" fillId="13" fontId="3" numFmtId="0" xfId="0" applyBorder="1" applyFont="1"/>
    <xf borderId="1" fillId="14" fontId="2" numFmtId="0" xfId="0" applyBorder="1" applyFill="1" applyFont="1"/>
    <xf borderId="0" fillId="14" fontId="2" numFmtId="0" xfId="0" applyFont="1"/>
    <xf borderId="8" fillId="3" fontId="1" numFmtId="0" xfId="0" applyBorder="1" applyFont="1"/>
    <xf borderId="8" fillId="4" fontId="1" numFmtId="0" xfId="0" applyBorder="1" applyFont="1"/>
    <xf borderId="1" fillId="7" fontId="2" numFmtId="165" xfId="0" applyBorder="1" applyFont="1" applyNumberFormat="1"/>
    <xf borderId="1" fillId="7" fontId="2" numFmtId="0" xfId="0" applyBorder="1" applyFont="1"/>
    <xf borderId="2" fillId="7" fontId="1" numFmtId="0" xfId="0" applyBorder="1" applyFont="1"/>
    <xf borderId="1" fillId="4" fontId="7" numFmtId="0" xfId="0" applyBorder="1" applyFont="1"/>
    <xf borderId="1" fillId="15" fontId="8" numFmtId="0" xfId="0" applyBorder="1" applyFill="1" applyFont="1"/>
    <xf borderId="9" fillId="0" fontId="2" numFmtId="0" xfId="0" applyBorder="1" applyFont="1"/>
    <xf borderId="0" fillId="0" fontId="3" numFmtId="0" xfId="0" applyAlignment="1" applyFont="1">
      <alignment horizontal="center"/>
    </xf>
    <xf borderId="1" fillId="4" fontId="2" numFmtId="0" xfId="0" applyBorder="1" applyFont="1"/>
    <xf borderId="1" fillId="7" fontId="1" numFmtId="0" xfId="0" applyAlignment="1" applyBorder="1" applyFont="1">
      <alignment vertical="bottom"/>
    </xf>
    <xf borderId="1" fillId="0" fontId="2" numFmtId="0" xfId="0" applyAlignment="1" applyBorder="1" applyFont="1">
      <alignment horizontal="right"/>
    </xf>
    <xf borderId="10" fillId="3" fontId="2" numFmtId="0" xfId="0" applyAlignment="1" applyBorder="1" applyFont="1">
      <alignment horizontal="center"/>
    </xf>
    <xf borderId="11" fillId="0" fontId="9" numFmtId="0" xfId="0" applyBorder="1" applyFont="1"/>
    <xf borderId="4" fillId="0" fontId="9" numFmtId="0" xfId="0" applyBorder="1" applyFont="1"/>
    <xf borderId="10" fillId="7" fontId="2" numFmtId="0" xfId="0" applyBorder="1" applyFont="1"/>
    <xf borderId="1" fillId="3" fontId="2" numFmtId="0" xfId="0" applyAlignment="1" applyBorder="1" applyFont="1">
      <alignment horizontal="center"/>
    </xf>
    <xf borderId="1" fillId="0" fontId="3" numFmtId="165" xfId="0" applyBorder="1" applyFont="1" applyNumberFormat="1"/>
    <xf borderId="2" fillId="0" fontId="4" numFmtId="0" xfId="0" applyBorder="1" applyFont="1"/>
    <xf borderId="1" fillId="0" fontId="2" numFmtId="10" xfId="0" applyBorder="1" applyFont="1" applyNumberFormat="1"/>
    <xf borderId="10" fillId="7" fontId="2" numFmtId="0" xfId="0" applyAlignment="1" applyBorder="1" applyFont="1">
      <alignment horizontal="center"/>
    </xf>
    <xf borderId="1" fillId="7" fontId="3" numFmtId="0" xfId="0" applyBorder="1" applyFont="1"/>
    <xf borderId="1" fillId="7" fontId="2" numFmtId="0" xfId="0" applyAlignment="1" applyBorder="1" applyFont="1">
      <alignment horizontal="center"/>
    </xf>
    <xf borderId="1" fillId="3" fontId="2" numFmtId="164" xfId="0" applyBorder="1" applyFont="1" applyNumberFormat="1"/>
    <xf borderId="10" fillId="16" fontId="2" numFmtId="0" xfId="0" applyAlignment="1" applyBorder="1" applyFill="1" applyFont="1">
      <alignment horizontal="center"/>
    </xf>
    <xf borderId="1" fillId="16" fontId="2" numFmtId="0" xfId="0" applyBorder="1" applyFont="1"/>
    <xf borderId="1" fillId="16" fontId="2" numFmtId="0" xfId="0" applyAlignment="1" applyBorder="1" applyFont="1">
      <alignment horizontal="center"/>
    </xf>
    <xf borderId="1" fillId="16" fontId="2" numFmtId="164" xfId="0" applyBorder="1" applyFont="1" applyNumberFormat="1"/>
    <xf borderId="9" fillId="0" fontId="4" numFmtId="0" xfId="0" applyBorder="1" applyFont="1"/>
    <xf borderId="0" fillId="0" fontId="3" numFmtId="165" xfId="0" applyFont="1" applyNumberFormat="1"/>
    <xf borderId="1" fillId="0" fontId="3" numFmtId="166" xfId="0" applyBorder="1" applyFont="1" applyNumberFormat="1"/>
    <xf borderId="1" fillId="17" fontId="4" numFmtId="0" xfId="0" applyBorder="1" applyFill="1" applyFont="1"/>
    <xf borderId="1" fillId="18" fontId="4" numFmtId="0" xfId="0" applyBorder="1" applyFill="1" applyFont="1"/>
    <xf borderId="1" fillId="15" fontId="4" numFmtId="0" xfId="0" applyBorder="1" applyFont="1"/>
    <xf borderId="1" fillId="3" fontId="4" numFmtId="0" xfId="0" applyBorder="1" applyFont="1"/>
    <xf borderId="1" fillId="3" fontId="1" numFmtId="0" xfId="0" applyBorder="1" applyFont="1"/>
    <xf borderId="1" fillId="19" fontId="1" numFmtId="0" xfId="0" applyBorder="1" applyFill="1" applyFont="1"/>
    <xf borderId="1" fillId="4" fontId="4" numFmtId="0" xfId="0" applyBorder="1" applyFont="1"/>
    <xf borderId="1" fillId="4" fontId="3" numFmtId="0" xfId="0" applyBorder="1" applyFont="1"/>
    <xf borderId="0" fillId="15" fontId="3" numFmtId="0" xfId="0" applyFont="1"/>
    <xf borderId="1" fillId="15" fontId="3" numFmtId="165" xfId="0" applyBorder="1" applyFont="1" applyNumberFormat="1"/>
    <xf borderId="2" fillId="15" fontId="4" numFmtId="0" xfId="0" applyBorder="1" applyFont="1"/>
    <xf borderId="1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0.86"/>
    <col customWidth="1" min="3" max="3" width="21.71"/>
    <col customWidth="1" min="4" max="4" width="18.43"/>
    <col customWidth="1" min="5" max="5" width="16.43"/>
    <col customWidth="1" min="6" max="6" width="15.14"/>
    <col customWidth="1" min="7" max="7" width="15.71"/>
    <col customWidth="1" min="8" max="8" width="13.57"/>
    <col customWidth="1" min="9" max="9" width="11.71"/>
    <col customWidth="1" min="10" max="10" width="11.0"/>
    <col customWidth="1" min="11" max="11" width="11.57"/>
    <col customWidth="1" min="12" max="12" width="26.71"/>
    <col customWidth="1" min="13" max="13" width="20.29"/>
    <col customWidth="1" min="14" max="14" width="27.86"/>
    <col customWidth="1" min="15" max="15" width="22.71"/>
    <col customWidth="1" min="16" max="16" width="30.14"/>
    <col customWidth="1" min="17" max="17" width="28.29"/>
    <col customWidth="1" min="18" max="19" width="26.14"/>
    <col customWidth="1" min="20" max="20" width="22.0"/>
    <col customWidth="1" min="22" max="22" width="20.43"/>
    <col customWidth="1" min="23" max="23" width="18.29"/>
    <col customWidth="1" min="25" max="25" width="1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7</v>
      </c>
      <c r="N1" s="2" t="s">
        <v>8</v>
      </c>
      <c r="O1" s="2" t="s">
        <v>9</v>
      </c>
      <c r="P1" s="2" t="s">
        <v>10</v>
      </c>
      <c r="R1" s="3" t="s">
        <v>11</v>
      </c>
      <c r="S1" s="3" t="s">
        <v>12</v>
      </c>
      <c r="T1" s="4"/>
      <c r="V1" s="5" t="s">
        <v>13</v>
      </c>
      <c r="W1" s="5">
        <f>M19</f>
        <v>36</v>
      </c>
      <c r="X1" s="6"/>
      <c r="Y1" s="6"/>
      <c r="Z1" s="6"/>
    </row>
    <row r="2">
      <c r="A2" s="7">
        <v>46034.0</v>
      </c>
      <c r="B2" s="8" t="s">
        <v>14</v>
      </c>
      <c r="C2" s="9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8">
        <v>40000.0</v>
      </c>
      <c r="I2" s="8"/>
      <c r="J2" s="8"/>
      <c r="K2" s="8"/>
      <c r="M2" s="10">
        <f t="shared" ref="M2:P2" si="1">SUM(H2:H199)</f>
        <v>3645000</v>
      </c>
      <c r="N2" s="10">
        <f t="shared" si="1"/>
        <v>2281000</v>
      </c>
      <c r="O2" s="10">
        <f t="shared" si="1"/>
        <v>620000</v>
      </c>
      <c r="P2" s="10">
        <f t="shared" si="1"/>
        <v>1523000</v>
      </c>
      <c r="R2" s="11">
        <f t="shared" ref="R2:S2" si="2">SUM(R26:R200)</f>
        <v>1906413</v>
      </c>
      <c r="S2" s="12">
        <f t="shared" si="2"/>
        <v>3940227</v>
      </c>
      <c r="V2" s="6"/>
      <c r="W2" s="13" t="s">
        <v>20</v>
      </c>
      <c r="X2" s="13" t="s">
        <v>8</v>
      </c>
      <c r="Y2" s="13" t="s">
        <v>9</v>
      </c>
      <c r="Z2" s="13" t="s">
        <v>10</v>
      </c>
      <c r="AA2" s="5" t="s">
        <v>21</v>
      </c>
      <c r="AB2" s="14" t="s">
        <v>22</v>
      </c>
      <c r="AC2" s="14"/>
      <c r="AD2" s="14"/>
      <c r="AE2" s="14"/>
      <c r="AF2" s="14"/>
    </row>
    <row r="3">
      <c r="A3" s="7">
        <v>46035.0</v>
      </c>
      <c r="B3" s="8" t="s">
        <v>23</v>
      </c>
      <c r="C3" s="9" t="s">
        <v>15</v>
      </c>
      <c r="D3" s="6" t="s">
        <v>24</v>
      </c>
      <c r="E3" s="6" t="s">
        <v>17</v>
      </c>
      <c r="F3" s="6" t="s">
        <v>18</v>
      </c>
      <c r="G3" s="6" t="s">
        <v>19</v>
      </c>
      <c r="H3" s="8">
        <v>200000.0</v>
      </c>
      <c r="I3" s="8"/>
      <c r="J3" s="8"/>
      <c r="K3" s="8"/>
      <c r="L3" s="15" t="s">
        <v>25</v>
      </c>
      <c r="M3" s="16">
        <f t="shared" ref="M3:P3" si="3">M2/$N$12</f>
        <v>0.972</v>
      </c>
      <c r="N3" s="16">
        <f t="shared" si="3"/>
        <v>0.6082666667</v>
      </c>
      <c r="O3" s="16">
        <f t="shared" si="3"/>
        <v>0.1653333333</v>
      </c>
      <c r="P3" s="16">
        <f t="shared" si="3"/>
        <v>0.4061333333</v>
      </c>
      <c r="V3" s="13" t="s">
        <v>24</v>
      </c>
      <c r="W3" s="6">
        <f>COUNTIFS(D2:D200,D204,H2:H200,"&gt;1")</f>
        <v>4</v>
      </c>
      <c r="X3" s="6">
        <f>COUNTIFS(D2:D200,D204,I2:I200,"&gt;1")</f>
        <v>0</v>
      </c>
      <c r="Y3" s="6">
        <f>COUNTIFS(D2:D200,D204,J2:J200,"&gt;1")</f>
        <v>0</v>
      </c>
      <c r="Z3" s="6">
        <f>COUNTIFS(D2:D200,D204,K2:K200,"&gt;1")</f>
        <v>0</v>
      </c>
      <c r="AA3" s="13">
        <f t="shared" ref="AA3:AA4" si="4">SUM(W3:Z3)</f>
        <v>4</v>
      </c>
      <c r="AB3" s="17">
        <f t="shared" ref="AB3:AB4" si="5">AA3/$W$1</f>
        <v>0.1111111111</v>
      </c>
      <c r="AC3" s="17"/>
      <c r="AD3" s="17"/>
      <c r="AE3" s="17"/>
      <c r="AF3" s="17"/>
    </row>
    <row r="4" ht="21.75" customHeight="1">
      <c r="A4" s="7">
        <v>46036.0</v>
      </c>
      <c r="B4" s="18" t="s">
        <v>26</v>
      </c>
      <c r="C4" s="19" t="s">
        <v>27</v>
      </c>
      <c r="D4" s="6" t="s">
        <v>28</v>
      </c>
      <c r="E4" s="6" t="s">
        <v>17</v>
      </c>
      <c r="F4" s="6" t="s">
        <v>18</v>
      </c>
      <c r="G4" s="6" t="s">
        <v>19</v>
      </c>
      <c r="H4" s="8"/>
      <c r="I4" s="19">
        <v>350000.0</v>
      </c>
      <c r="J4" s="8"/>
      <c r="K4" s="8"/>
      <c r="L4" s="15" t="s">
        <v>29</v>
      </c>
      <c r="M4" s="16">
        <f>M2/($O$6-L12)</f>
        <v>0.4517288388</v>
      </c>
      <c r="N4" s="16">
        <f>N2/($O$6-L12)</f>
        <v>0.2826868261</v>
      </c>
      <c r="O4" s="16">
        <f>O2/($O$6-L12)</f>
        <v>0.07683727847</v>
      </c>
      <c r="P4" s="16">
        <f>P2/($O$6-L12)</f>
        <v>0.1887470566</v>
      </c>
      <c r="R4" s="20" t="s">
        <v>30</v>
      </c>
      <c r="S4" s="21">
        <f>SUM(R2+S2+T2)</f>
        <v>5846640</v>
      </c>
      <c r="V4" s="13" t="s">
        <v>28</v>
      </c>
      <c r="W4" s="6">
        <f>COUNTIFS(D2:D200,D205,H2:H200,"&gt;1")</f>
        <v>4</v>
      </c>
      <c r="X4" s="6">
        <f>COUNTIFS(D2:D200,D205,I2:I200,"&gt;1")</f>
        <v>3</v>
      </c>
      <c r="Y4" s="6">
        <f>COUNTIFS(D2:D200,D205,J2:J200,"&gt;1")</f>
        <v>0</v>
      </c>
      <c r="Z4" s="6">
        <f>COUNTIFS(D2:D200,D205,K2:K200,"&gt;1")</f>
        <v>0</v>
      </c>
      <c r="AA4" s="13">
        <f t="shared" si="4"/>
        <v>7</v>
      </c>
      <c r="AB4" s="17">
        <f t="shared" si="5"/>
        <v>0.1944444444</v>
      </c>
      <c r="AC4" s="17"/>
      <c r="AD4" s="17"/>
      <c r="AE4" s="17"/>
      <c r="AF4" s="17"/>
    </row>
    <row r="5" ht="21.75" customHeight="1">
      <c r="A5" s="7">
        <v>46036.0</v>
      </c>
      <c r="B5" s="18" t="s">
        <v>26</v>
      </c>
      <c r="C5" s="19" t="s">
        <v>15</v>
      </c>
      <c r="D5" s="6" t="s">
        <v>28</v>
      </c>
      <c r="E5" s="6" t="s">
        <v>17</v>
      </c>
      <c r="F5" s="6" t="s">
        <v>18</v>
      </c>
      <c r="G5" s="6" t="s">
        <v>19</v>
      </c>
      <c r="H5" s="8"/>
      <c r="I5" s="18">
        <v>100000.0</v>
      </c>
      <c r="J5" s="8"/>
      <c r="K5" s="8"/>
      <c r="L5" s="22" t="s">
        <v>31</v>
      </c>
      <c r="M5" s="23" t="s">
        <v>32</v>
      </c>
      <c r="N5" s="16"/>
      <c r="O5" s="16"/>
      <c r="P5" s="16"/>
      <c r="R5" s="24"/>
      <c r="S5" s="25"/>
      <c r="V5" s="13"/>
      <c r="W5" s="6"/>
      <c r="X5" s="6"/>
      <c r="Y5" s="6"/>
      <c r="Z5" s="6"/>
      <c r="AA5" s="13"/>
      <c r="AB5" s="17"/>
      <c r="AC5" s="17"/>
      <c r="AD5" s="17"/>
      <c r="AE5" s="17"/>
      <c r="AF5" s="17"/>
    </row>
    <row r="6">
      <c r="A6" s="7">
        <v>46036.0</v>
      </c>
      <c r="B6" s="9" t="s">
        <v>33</v>
      </c>
      <c r="C6" s="9" t="s">
        <v>27</v>
      </c>
      <c r="D6" s="6" t="s">
        <v>34</v>
      </c>
      <c r="E6" s="6" t="s">
        <v>17</v>
      </c>
      <c r="F6" s="6" t="s">
        <v>18</v>
      </c>
      <c r="G6" s="6" t="s">
        <v>19</v>
      </c>
      <c r="H6" s="8"/>
      <c r="I6" s="8"/>
      <c r="J6" s="8"/>
      <c r="K6" s="9">
        <v>450000.0</v>
      </c>
      <c r="N6" s="26" t="s">
        <v>35</v>
      </c>
      <c r="O6" s="21">
        <f>SUM(M2:N2:O2:P2)+L12</f>
        <v>8199000</v>
      </c>
      <c r="S6" s="16">
        <f>S4/$O$6</f>
        <v>0.7130918405</v>
      </c>
      <c r="V6" s="13" t="s">
        <v>34</v>
      </c>
      <c r="W6" s="6">
        <f>COUNTIFS(D2:D200,D206,H2:H200,"&gt;1")</f>
        <v>0</v>
      </c>
      <c r="X6" s="6">
        <f>COUNTIFS(D2:D200,D206,I2:I200,"&gt;1")</f>
        <v>0</v>
      </c>
      <c r="Y6" s="6">
        <f>COUNTIFS(D2:D200,D206,J2:J200,"&gt;1")</f>
        <v>0</v>
      </c>
      <c r="Z6" s="6">
        <f>COUNTIFS(D2:D200,D206,K2:K200,"&gt;1")</f>
        <v>4</v>
      </c>
      <c r="AA6" s="13">
        <f t="shared" ref="AA6:AA10" si="6">SUM(W6:Z6)</f>
        <v>4</v>
      </c>
      <c r="AB6" s="17">
        <f t="shared" ref="AB6:AB10" si="7">AA6/$W$1</f>
        <v>0.1111111111</v>
      </c>
      <c r="AC6" s="17"/>
      <c r="AD6" s="17"/>
      <c r="AE6" s="17"/>
      <c r="AF6" s="17"/>
    </row>
    <row r="7">
      <c r="A7" s="7">
        <v>46037.0</v>
      </c>
      <c r="B7" s="8" t="s">
        <v>36</v>
      </c>
      <c r="C7" s="9" t="s">
        <v>15</v>
      </c>
      <c r="D7" s="6" t="s">
        <v>28</v>
      </c>
      <c r="E7" s="6" t="s">
        <v>17</v>
      </c>
      <c r="F7" s="6" t="s">
        <v>18</v>
      </c>
      <c r="G7" s="6" t="s">
        <v>19</v>
      </c>
      <c r="H7" s="6">
        <v>50000.0</v>
      </c>
      <c r="I7" s="8"/>
      <c r="J7" s="8"/>
      <c r="K7" s="8"/>
      <c r="O7" s="16">
        <f>O6/$O$12</f>
        <v>0.5466</v>
      </c>
      <c r="V7" s="13" t="s">
        <v>37</v>
      </c>
      <c r="W7" s="6">
        <f>COUNTIFS(D2:D200,D207,H2:H200,"&gt;1")</f>
        <v>0</v>
      </c>
      <c r="X7" s="6">
        <f>COUNTIFS(D2:D200,D207,I2:I200,"&gt;1")</f>
        <v>0</v>
      </c>
      <c r="Y7" s="6">
        <f>COUNTIFS(D2:D200,D207,J2:J200,"&gt;1")</f>
        <v>0</v>
      </c>
      <c r="Z7" s="6">
        <f>COUNTIFS(D2:D200,D207,K2:K200,"&gt;1")</f>
        <v>3</v>
      </c>
      <c r="AA7" s="13">
        <f t="shared" si="6"/>
        <v>3</v>
      </c>
      <c r="AB7" s="17">
        <f t="shared" si="7"/>
        <v>0.08333333333</v>
      </c>
      <c r="AC7" s="17"/>
      <c r="AD7" s="17"/>
      <c r="AE7" s="17"/>
      <c r="AF7" s="17"/>
    </row>
    <row r="8">
      <c r="A8" s="7">
        <v>46037.0</v>
      </c>
      <c r="B8" s="8" t="s">
        <v>38</v>
      </c>
      <c r="C8" s="9" t="s">
        <v>15</v>
      </c>
      <c r="D8" s="6" t="s">
        <v>16</v>
      </c>
      <c r="E8" s="6" t="s">
        <v>17</v>
      </c>
      <c r="F8" s="6" t="s">
        <v>18</v>
      </c>
      <c r="G8" s="6" t="s">
        <v>19</v>
      </c>
      <c r="H8" s="8">
        <v>750000.0</v>
      </c>
      <c r="I8" s="8"/>
      <c r="J8" s="8"/>
      <c r="K8" s="8"/>
      <c r="P8" s="26" t="s">
        <v>39</v>
      </c>
      <c r="Q8" s="21">
        <f>O6-S4</f>
        <v>2352360</v>
      </c>
      <c r="R8" s="16">
        <f>Q8/$O$6</f>
        <v>0.2869081595</v>
      </c>
      <c r="V8" s="13" t="s">
        <v>40</v>
      </c>
      <c r="W8" s="6">
        <f>COUNTIFS(D2:D200,D208,H2:H200,"&gt;1")</f>
        <v>0</v>
      </c>
      <c r="X8" s="6">
        <f>COUNTIFS(D2:D200,D208,I2:I200,"&gt;1")</f>
        <v>0</v>
      </c>
      <c r="Y8" s="6">
        <f>COUNTIFS(D2:D200,D208,J2:J200,"&gt;1")</f>
        <v>0</v>
      </c>
      <c r="Z8" s="6">
        <f>COUNTIFS(D2:D200,D208,K2:K200,"&gt;1")</f>
        <v>0</v>
      </c>
      <c r="AA8" s="13">
        <f t="shared" si="6"/>
        <v>0</v>
      </c>
      <c r="AB8" s="17">
        <f t="shared" si="7"/>
        <v>0</v>
      </c>
      <c r="AC8" s="17"/>
      <c r="AD8" s="17"/>
      <c r="AE8" s="17"/>
      <c r="AF8" s="17"/>
    </row>
    <row r="9">
      <c r="A9" s="7">
        <v>46038.0</v>
      </c>
      <c r="B9" s="8" t="s">
        <v>41</v>
      </c>
      <c r="C9" s="9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8"/>
      <c r="I9" s="8">
        <v>100000.0</v>
      </c>
      <c r="J9" s="8"/>
      <c r="K9" s="8"/>
      <c r="P9" s="26" t="s">
        <v>42</v>
      </c>
      <c r="Q9" s="21">
        <f>Q8/4</f>
        <v>588090</v>
      </c>
      <c r="V9" s="13" t="s">
        <v>43</v>
      </c>
      <c r="W9" s="6">
        <f>COUNTIFS(D2:D200,D209,H2:H200,"&gt;1")</f>
        <v>0</v>
      </c>
      <c r="X9" s="6">
        <f>COUNTIFS(D2:D200,D209,I2:I200,"&gt;1")</f>
        <v>0</v>
      </c>
      <c r="Y9" s="6">
        <f>COUNTIFS(D2:D200,D209,J2:J200,"&gt;1")</f>
        <v>0</v>
      </c>
      <c r="Z9" s="6">
        <f>COUNTIFS(D2:D200,D209,K2:K200,"&gt;1")</f>
        <v>0</v>
      </c>
      <c r="AA9" s="13">
        <f t="shared" si="6"/>
        <v>0</v>
      </c>
      <c r="AB9" s="17">
        <f t="shared" si="7"/>
        <v>0</v>
      </c>
      <c r="AC9" s="17"/>
      <c r="AD9" s="17"/>
      <c r="AE9" s="17"/>
      <c r="AF9" s="17"/>
    </row>
    <row r="10">
      <c r="A10" s="7">
        <v>46038.0</v>
      </c>
      <c r="B10" s="27" t="s">
        <v>44</v>
      </c>
      <c r="C10" s="28" t="s">
        <v>27</v>
      </c>
      <c r="D10" s="6" t="s">
        <v>28</v>
      </c>
      <c r="E10" s="6" t="s">
        <v>17</v>
      </c>
      <c r="F10" s="6" t="s">
        <v>45</v>
      </c>
      <c r="G10" s="6" t="s">
        <v>46</v>
      </c>
      <c r="H10" s="28">
        <v>35000.0</v>
      </c>
      <c r="I10" s="28">
        <v>35000.0</v>
      </c>
      <c r="J10" s="8"/>
      <c r="K10" s="8"/>
      <c r="V10" s="13" t="s">
        <v>16</v>
      </c>
      <c r="W10" s="6">
        <f>COUNTIFS(D2:D200,D210,H2:H200,"&gt;1")</f>
        <v>8</v>
      </c>
      <c r="X10" s="6">
        <f>COUNTIFS(D2:D200,D210,I2:I200,"&gt;1")</f>
        <v>6</v>
      </c>
      <c r="Y10" s="6">
        <f>COUNTIFS(D2:D200,D210,J2:J200,"&gt;1")</f>
        <v>2</v>
      </c>
      <c r="Z10" s="6">
        <f>COUNTIFS(D2:D200,D210,K2:K200,"&gt;1")</f>
        <v>2</v>
      </c>
      <c r="AA10" s="13">
        <f t="shared" si="6"/>
        <v>18</v>
      </c>
      <c r="AB10" s="17">
        <f t="shared" si="7"/>
        <v>0.5</v>
      </c>
      <c r="AC10" s="17"/>
      <c r="AD10" s="17"/>
      <c r="AE10" s="17"/>
      <c r="AF10" s="17"/>
    </row>
    <row r="11" ht="29.25" customHeight="1">
      <c r="A11" s="7">
        <v>46038.0</v>
      </c>
      <c r="B11" s="8" t="s">
        <v>47</v>
      </c>
      <c r="C11" s="9" t="s">
        <v>15</v>
      </c>
      <c r="D11" s="6" t="s">
        <v>28</v>
      </c>
      <c r="E11" s="6" t="s">
        <v>17</v>
      </c>
      <c r="F11" s="6" t="s">
        <v>45</v>
      </c>
      <c r="G11" s="6" t="s">
        <v>19</v>
      </c>
      <c r="H11" s="8">
        <v>125000.0</v>
      </c>
      <c r="I11" s="8"/>
      <c r="J11" s="8"/>
      <c r="K11" s="8"/>
      <c r="L11" s="29" t="s">
        <v>48</v>
      </c>
      <c r="N11" s="30" t="s">
        <v>25</v>
      </c>
      <c r="O11" s="30" t="s">
        <v>49</v>
      </c>
      <c r="R11" s="30" t="s">
        <v>50</v>
      </c>
      <c r="S11" s="30" t="s">
        <v>51</v>
      </c>
      <c r="T11" s="31" t="s">
        <v>52</v>
      </c>
      <c r="U11" s="31" t="s">
        <v>53</v>
      </c>
      <c r="V11" s="23"/>
    </row>
    <row r="12">
      <c r="A12" s="7">
        <v>46039.0</v>
      </c>
      <c r="B12" s="8" t="s">
        <v>54</v>
      </c>
      <c r="C12" s="9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8"/>
      <c r="I12" s="8"/>
      <c r="J12" s="8"/>
      <c r="K12" s="8">
        <v>20000.0</v>
      </c>
      <c r="L12" s="13">
        <v>130000.0</v>
      </c>
      <c r="N12" s="13">
        <v>3750000.0</v>
      </c>
      <c r="O12" s="13">
        <v>1.5E7</v>
      </c>
      <c r="R12" s="13" t="s">
        <v>20</v>
      </c>
      <c r="S12" s="13">
        <f>O15-T27</f>
        <v>124750</v>
      </c>
      <c r="T12" s="31">
        <f>S12+I17+I26+I36</f>
        <v>1219750</v>
      </c>
      <c r="U12" s="32">
        <f t="shared" ref="U12:U15" si="8">T12-T20</f>
        <v>465571.4021</v>
      </c>
      <c r="V12" s="13" t="s">
        <v>55</v>
      </c>
      <c r="W12" s="6">
        <f>COUNTIFS(E2:E200,E204,H2:H200,"&gt;1")</f>
        <v>1</v>
      </c>
      <c r="X12" s="6">
        <f>COUNTIFS(E2:E200,E204,I2:I200,"&gt;1")</f>
        <v>0</v>
      </c>
      <c r="Y12" s="6">
        <f>COUNTIFS(E2:E200,E204,J2:J200,"&gt;1")</f>
        <v>0</v>
      </c>
      <c r="Z12" s="6">
        <f>COUNTIFS(E2:E200,E204,K2:K200,"&gt;1")</f>
        <v>0</v>
      </c>
      <c r="AA12" s="13">
        <f t="shared" ref="AA12:AA13" si="9">SUM(W12:Z12)</f>
        <v>1</v>
      </c>
      <c r="AB12" s="17">
        <f t="shared" ref="AB12:AB13" si="10">AA12/$W$1</f>
        <v>0.02777777778</v>
      </c>
      <c r="AC12" s="17"/>
      <c r="AD12" s="17"/>
      <c r="AE12" s="17"/>
      <c r="AF12" s="17"/>
    </row>
    <row r="13">
      <c r="A13" s="7">
        <v>46041.0</v>
      </c>
      <c r="B13" s="8" t="s">
        <v>56</v>
      </c>
      <c r="C13" s="9" t="s">
        <v>27</v>
      </c>
      <c r="D13" s="6" t="s">
        <v>34</v>
      </c>
      <c r="E13" s="6" t="s">
        <v>17</v>
      </c>
      <c r="F13" s="6" t="s">
        <v>18</v>
      </c>
      <c r="G13" s="6" t="s">
        <v>19</v>
      </c>
      <c r="H13" s="8"/>
      <c r="I13" s="8"/>
      <c r="J13" s="8"/>
      <c r="K13" s="9">
        <v>200000.0</v>
      </c>
      <c r="L13" s="23" t="s">
        <v>57</v>
      </c>
      <c r="R13" s="13" t="s">
        <v>8</v>
      </c>
      <c r="S13" s="13">
        <f>O16-T29</f>
        <v>1512000</v>
      </c>
      <c r="T13" s="31">
        <f>S13-I17-I26-I36</f>
        <v>417000</v>
      </c>
      <c r="U13" s="32">
        <f t="shared" si="8"/>
        <v>-198001.9138</v>
      </c>
      <c r="V13" s="13" t="s">
        <v>17</v>
      </c>
      <c r="W13" s="6">
        <f>COUNTIFS(E2:E200,E205,H2:H200,"&gt;1")</f>
        <v>15</v>
      </c>
      <c r="X13" s="6">
        <f>COUNTIFS(E2:E200,E205,I2:I200,"&gt;1")</f>
        <v>9</v>
      </c>
      <c r="Y13" s="6">
        <f>COUNTIFS(E2:E200,E205,J2:J200,"&gt;1")</f>
        <v>2</v>
      </c>
      <c r="Z13" s="6">
        <f>COUNTIFS(E2:E200,E205,K2:K200,"&gt;1")</f>
        <v>9</v>
      </c>
      <c r="AA13" s="13">
        <f t="shared" si="9"/>
        <v>35</v>
      </c>
      <c r="AB13" s="17">
        <f t="shared" si="10"/>
        <v>0.9722222222</v>
      </c>
      <c r="AC13" s="17"/>
      <c r="AD13" s="17"/>
      <c r="AE13" s="17"/>
      <c r="AF13" s="17"/>
    </row>
    <row r="14">
      <c r="A14" s="7">
        <v>46041.0</v>
      </c>
      <c r="B14" s="8" t="s">
        <v>58</v>
      </c>
      <c r="C14" s="9" t="s">
        <v>15</v>
      </c>
      <c r="D14" s="6" t="s">
        <v>16</v>
      </c>
      <c r="E14" s="6" t="s">
        <v>17</v>
      </c>
      <c r="F14" s="6" t="s">
        <v>45</v>
      </c>
      <c r="G14" s="6" t="s">
        <v>19</v>
      </c>
      <c r="H14" s="8">
        <v>125000.0</v>
      </c>
      <c r="I14" s="8"/>
      <c r="J14" s="8"/>
      <c r="K14" s="8"/>
      <c r="M14" s="30" t="s">
        <v>59</v>
      </c>
      <c r="N14" s="33" t="s">
        <v>60</v>
      </c>
      <c r="O14" s="33" t="s">
        <v>61</v>
      </c>
      <c r="P14" s="34" t="s">
        <v>62</v>
      </c>
      <c r="R14" s="13" t="s">
        <v>9</v>
      </c>
      <c r="S14" s="13">
        <f>O17-T31</f>
        <v>553000</v>
      </c>
      <c r="T14" s="31">
        <f t="shared" ref="T14:T15" si="11">S14</f>
        <v>553000</v>
      </c>
      <c r="U14" s="32">
        <f t="shared" si="8"/>
        <v>107479.3709</v>
      </c>
    </row>
    <row r="15">
      <c r="A15" s="7">
        <v>46041.0</v>
      </c>
      <c r="B15" s="9" t="s">
        <v>63</v>
      </c>
      <c r="C15" s="9" t="s">
        <v>15</v>
      </c>
      <c r="D15" s="6" t="s">
        <v>34</v>
      </c>
      <c r="E15" s="6" t="s">
        <v>17</v>
      </c>
      <c r="F15" s="6" t="s">
        <v>18</v>
      </c>
      <c r="G15" s="6" t="s">
        <v>19</v>
      </c>
      <c r="H15" s="8"/>
      <c r="I15" s="8"/>
      <c r="J15" s="8"/>
      <c r="K15" s="8">
        <v>550000.0</v>
      </c>
      <c r="M15" s="13">
        <f>COUNT(H2:H200)</f>
        <v>16</v>
      </c>
      <c r="N15" s="35" t="s">
        <v>20</v>
      </c>
      <c r="O15" s="6">
        <f>SUMIF(C2:C200,C204,H2:H200)</f>
        <v>3280000</v>
      </c>
      <c r="P15" s="6">
        <f>SUMIF(C2:C200,C205,H2:H200)</f>
        <v>365000</v>
      </c>
      <c r="R15" s="13" t="s">
        <v>10</v>
      </c>
      <c r="S15" s="13">
        <f>O18-T33</f>
        <v>75023</v>
      </c>
      <c r="T15" s="31">
        <f t="shared" si="11"/>
        <v>75023</v>
      </c>
      <c r="U15" s="32">
        <f t="shared" si="8"/>
        <v>-462635.8592</v>
      </c>
      <c r="V15" s="13" t="s">
        <v>45</v>
      </c>
      <c r="W15" s="6">
        <f>COUNTIFS(F2:F200,F204,H2:H200,"&gt;1")</f>
        <v>4</v>
      </c>
      <c r="X15" s="6">
        <f>COUNTIFS(F2:F200,F204,I2:I200,"&gt;1")</f>
        <v>3</v>
      </c>
      <c r="Y15" s="6">
        <f>COUNTIFS(F2:F200,F204,J2:J200,"&gt;1")</f>
        <v>0</v>
      </c>
      <c r="Z15" s="6">
        <f>COUNTIFS(F2:F200,F204,K2:K200,"&gt;1")</f>
        <v>4</v>
      </c>
      <c r="AA15" s="13">
        <f t="shared" ref="AA15:AA16" si="12">SUM(W15:Z15)</f>
        <v>11</v>
      </c>
      <c r="AB15" s="17">
        <f t="shared" ref="AB15:AB16" si="13">AA15/$W$1</f>
        <v>0.3055555556</v>
      </c>
      <c r="AC15" s="17"/>
      <c r="AD15" s="17"/>
      <c r="AE15" s="17"/>
      <c r="AF15" s="17"/>
    </row>
    <row r="16">
      <c r="A16" s="7">
        <v>46048.0</v>
      </c>
      <c r="B16" s="9" t="s">
        <v>64</v>
      </c>
      <c r="C16" s="9" t="s">
        <v>15</v>
      </c>
      <c r="D16" s="6" t="s">
        <v>24</v>
      </c>
      <c r="E16" s="6" t="s">
        <v>17</v>
      </c>
      <c r="F16" s="6" t="s">
        <v>18</v>
      </c>
      <c r="G16" s="6" t="s">
        <v>19</v>
      </c>
      <c r="H16" s="8">
        <v>200000.0</v>
      </c>
      <c r="I16" s="8"/>
      <c r="J16" s="8"/>
      <c r="K16" s="8"/>
      <c r="M16" s="13">
        <f>COUNT(I2:I200)</f>
        <v>9</v>
      </c>
      <c r="N16" s="35" t="s">
        <v>8</v>
      </c>
      <c r="O16" s="6">
        <f>SUMIF(C2:C200,C204,I2:I200)</f>
        <v>1512000</v>
      </c>
      <c r="P16" s="6">
        <f>SUMIF(C2:C200,C205,I2:I200)</f>
        <v>769000</v>
      </c>
      <c r="T16" s="31" t="s">
        <v>65</v>
      </c>
      <c r="V16" s="13" t="s">
        <v>18</v>
      </c>
      <c r="W16" s="6">
        <f>COUNTIFS(F2:F200,F205,H2:H200,"&gt;1")</f>
        <v>12</v>
      </c>
      <c r="X16" s="6">
        <f>COUNTIFS(F2:F200,F205,I2:I200,"&gt;1")</f>
        <v>6</v>
      </c>
      <c r="Y16" s="6">
        <f>COUNTIFS(F2:F200,F205,J2:J200,"&gt;1")</f>
        <v>2</v>
      </c>
      <c r="Z16" s="6">
        <f>COUNTIFS(F2:F200,F205,K2:K200,"&gt;1")</f>
        <v>5</v>
      </c>
      <c r="AA16" s="13">
        <f t="shared" si="12"/>
        <v>25</v>
      </c>
      <c r="AB16" s="17">
        <f t="shared" si="13"/>
        <v>0.6944444444</v>
      </c>
      <c r="AC16" s="17"/>
      <c r="AD16" s="17"/>
      <c r="AE16" s="17"/>
      <c r="AF16" s="17"/>
    </row>
    <row r="17">
      <c r="A17" s="7">
        <v>46049.0</v>
      </c>
      <c r="B17" s="36" t="s">
        <v>66</v>
      </c>
      <c r="C17" s="37" t="s">
        <v>15</v>
      </c>
      <c r="D17" s="6" t="s">
        <v>16</v>
      </c>
      <c r="E17" s="6" t="s">
        <v>17</v>
      </c>
      <c r="F17" s="6" t="s">
        <v>45</v>
      </c>
      <c r="G17" s="6" t="s">
        <v>46</v>
      </c>
      <c r="H17" s="8"/>
      <c r="I17" s="36">
        <v>70000.0</v>
      </c>
      <c r="J17" s="8"/>
      <c r="K17" s="8"/>
      <c r="M17" s="13">
        <f>COUNT(J2:J200)</f>
        <v>2</v>
      </c>
      <c r="N17" s="35" t="s">
        <v>9</v>
      </c>
      <c r="O17" s="6">
        <f>SUMIF(C2:C200,C204,J2:J200)</f>
        <v>620000</v>
      </c>
      <c r="P17" s="6">
        <f>SUMIF(C2:C200,C205,J2:J200)</f>
        <v>0</v>
      </c>
      <c r="R17" s="30" t="s">
        <v>67</v>
      </c>
      <c r="S17" s="38">
        <f>Q8 * 0.65</f>
        <v>1529034</v>
      </c>
    </row>
    <row r="18">
      <c r="A18" s="7">
        <v>46050.0</v>
      </c>
      <c r="B18" s="8" t="s">
        <v>68</v>
      </c>
      <c r="C18" s="9" t="s">
        <v>15</v>
      </c>
      <c r="D18" s="6" t="s">
        <v>16</v>
      </c>
      <c r="E18" s="6" t="s">
        <v>17</v>
      </c>
      <c r="F18" s="6" t="s">
        <v>45</v>
      </c>
      <c r="G18" s="6" t="s">
        <v>46</v>
      </c>
      <c r="H18" s="8"/>
      <c r="I18" s="8"/>
      <c r="J18" s="8"/>
      <c r="K18" s="8">
        <v>48000.0</v>
      </c>
      <c r="M18" s="13">
        <f>COUNT(K2:K200)</f>
        <v>9</v>
      </c>
      <c r="N18" s="35" t="s">
        <v>69</v>
      </c>
      <c r="O18" s="6">
        <f>SUMIF(C2:C200,C204,K2:K200)</f>
        <v>793000</v>
      </c>
      <c r="P18" s="6">
        <f>SUMIF(C2:C200,C205,K2:K200)</f>
        <v>730000</v>
      </c>
      <c r="R18" s="13" t="s">
        <v>70</v>
      </c>
      <c r="S18" s="39">
        <f>S17/4</f>
        <v>382258.5</v>
      </c>
      <c r="V18" s="13" t="s">
        <v>46</v>
      </c>
      <c r="W18" s="6">
        <f>COUNTIFS(G2:G200,G204,H2:H200,"&gt;1")</f>
        <v>1</v>
      </c>
      <c r="X18" s="6">
        <f>COUNTIFS(G2:G200,G204,I2:I200,"&gt;1")</f>
        <v>2</v>
      </c>
      <c r="Y18" s="6">
        <f>COUNTIFS(G2:G200,G204,J2:J200,"&gt;1")</f>
        <v>0</v>
      </c>
      <c r="Z18" s="6">
        <f>COUNTIFS(G2:G200,G204,K2:K200,"&gt;1")</f>
        <v>3</v>
      </c>
      <c r="AA18" s="13">
        <f t="shared" ref="AA18:AA19" si="14">SUM(W18:Z18)</f>
        <v>6</v>
      </c>
      <c r="AB18" s="17">
        <f t="shared" ref="AB18:AB19" si="15">AA18/$W$1</f>
        <v>0.1666666667</v>
      </c>
      <c r="AC18" s="17"/>
      <c r="AD18" s="17"/>
      <c r="AE18" s="17"/>
      <c r="AF18" s="17"/>
    </row>
    <row r="19">
      <c r="A19" s="7">
        <v>46051.0</v>
      </c>
      <c r="B19" s="8" t="s">
        <v>71</v>
      </c>
      <c r="C19" s="9" t="s">
        <v>15</v>
      </c>
      <c r="D19" s="6" t="s">
        <v>16</v>
      </c>
      <c r="E19" s="6" t="s">
        <v>17</v>
      </c>
      <c r="F19" s="6" t="s">
        <v>45</v>
      </c>
      <c r="G19" s="6" t="s">
        <v>19</v>
      </c>
      <c r="H19" s="8"/>
      <c r="I19" s="8">
        <v>217000.0</v>
      </c>
      <c r="J19" s="8"/>
      <c r="K19" s="8"/>
      <c r="M19" s="31">
        <f>SUM(M15+M16+M17+M18)</f>
        <v>36</v>
      </c>
      <c r="N19" s="30" t="s">
        <v>72</v>
      </c>
      <c r="O19" s="40">
        <f>O18+O17+O15+O16</f>
        <v>6205000</v>
      </c>
      <c r="P19" s="40">
        <f>SUM(P15+P16+P17+P18)</f>
        <v>1864000</v>
      </c>
      <c r="R19" s="30" t="s">
        <v>73</v>
      </c>
      <c r="S19" s="38">
        <f>Q8 * 0.35</f>
        <v>823326</v>
      </c>
      <c r="T19" s="34" t="s">
        <v>74</v>
      </c>
      <c r="V19" s="13" t="s">
        <v>19</v>
      </c>
      <c r="W19" s="6">
        <f>COUNTIFS(G2:G200,G205,H2:H200,"&gt;1")</f>
        <v>15</v>
      </c>
      <c r="X19" s="6">
        <f>COUNTIFS(G2:G200,G205,I2:I200,"&gt;1")</f>
        <v>7</v>
      </c>
      <c r="Y19" s="6">
        <f>COUNTIFS(G2:G200,G205,J2:J200,"&gt;1")</f>
        <v>2</v>
      </c>
      <c r="Z19" s="6">
        <f>COUNTIFS(G2:G200,G205,K2:K200,"&gt;1")</f>
        <v>6</v>
      </c>
      <c r="AA19" s="13">
        <f t="shared" si="14"/>
        <v>30</v>
      </c>
      <c r="AB19" s="17">
        <f t="shared" si="15"/>
        <v>0.8333333333</v>
      </c>
      <c r="AC19" s="17"/>
      <c r="AD19" s="17"/>
      <c r="AE19" s="17"/>
      <c r="AF19" s="17"/>
    </row>
    <row r="20">
      <c r="A20" s="7">
        <v>46055.0</v>
      </c>
      <c r="B20" s="8" t="s">
        <v>75</v>
      </c>
      <c r="C20" s="9" t="s">
        <v>15</v>
      </c>
      <c r="D20" s="6" t="s">
        <v>16</v>
      </c>
      <c r="E20" s="6" t="s">
        <v>17</v>
      </c>
      <c r="F20" s="6" t="s">
        <v>18</v>
      </c>
      <c r="G20" s="6" t="s">
        <v>19</v>
      </c>
      <c r="H20" s="8">
        <v>160000.0</v>
      </c>
      <c r="I20" s="8"/>
      <c r="J20" s="8"/>
      <c r="K20" s="8"/>
      <c r="P20" s="30" t="s">
        <v>76</v>
      </c>
      <c r="R20" s="13" t="s">
        <v>20</v>
      </c>
      <c r="S20" s="39">
        <f>S19*M4</f>
        <v>371920.0979</v>
      </c>
      <c r="T20" s="41">
        <f>S18+S20</f>
        <v>754178.5979</v>
      </c>
    </row>
    <row r="21" ht="15.75" customHeight="1">
      <c r="A21" s="7">
        <v>46057.0</v>
      </c>
      <c r="B21" s="8" t="s">
        <v>77</v>
      </c>
      <c r="C21" s="9" t="s">
        <v>27</v>
      </c>
      <c r="D21" s="6" t="s">
        <v>16</v>
      </c>
      <c r="E21" s="6" t="s">
        <v>17</v>
      </c>
      <c r="F21" s="6" t="s">
        <v>18</v>
      </c>
      <c r="G21" s="6" t="s">
        <v>19</v>
      </c>
      <c r="H21" s="8"/>
      <c r="I21" s="9">
        <v>384000.0</v>
      </c>
      <c r="J21" s="8"/>
      <c r="P21" s="42">
        <f>P19+L12</f>
        <v>1994000</v>
      </c>
      <c r="R21" s="13" t="s">
        <v>8</v>
      </c>
      <c r="S21" s="39">
        <f>S19*N4</f>
        <v>232743.4138</v>
      </c>
      <c r="T21" s="41">
        <f>S18+S21</f>
        <v>615001.9138</v>
      </c>
      <c r="V21" s="5" t="s">
        <v>78</v>
      </c>
      <c r="W21" s="6"/>
      <c r="X21" s="6"/>
      <c r="Y21" s="6"/>
      <c r="Z21" s="6"/>
    </row>
    <row r="22" ht="15.75" customHeight="1">
      <c r="A22" s="7">
        <v>46058.0</v>
      </c>
      <c r="B22" s="8" t="s">
        <v>79</v>
      </c>
      <c r="C22" s="9" t="s">
        <v>15</v>
      </c>
      <c r="D22" s="6" t="s">
        <v>16</v>
      </c>
      <c r="E22" s="6" t="s">
        <v>17</v>
      </c>
      <c r="F22" s="6" t="s">
        <v>18</v>
      </c>
      <c r="G22" s="6" t="s">
        <v>19</v>
      </c>
      <c r="H22" s="8">
        <v>120000.0</v>
      </c>
      <c r="I22" s="8"/>
      <c r="J22" s="8"/>
      <c r="K22" s="8"/>
      <c r="N22" s="30" t="s">
        <v>80</v>
      </c>
      <c r="O22" s="43">
        <f>O19+P19</f>
        <v>8069000</v>
      </c>
      <c r="P22" s="30" t="s">
        <v>81</v>
      </c>
      <c r="R22" s="13" t="s">
        <v>9</v>
      </c>
      <c r="S22" s="39">
        <f>S19*O4</f>
        <v>63262.12914</v>
      </c>
      <c r="T22" s="41">
        <f>S18+S22</f>
        <v>445520.6291</v>
      </c>
      <c r="V22" s="13" t="s">
        <v>46</v>
      </c>
      <c r="W22" s="6">
        <f>SUMIF(G2:G200,G204,H2:H200)</f>
        <v>35000</v>
      </c>
      <c r="X22" s="6">
        <f>SUMIF(G2:G200,G204,I2:I200)</f>
        <v>105000</v>
      </c>
      <c r="Y22" s="6">
        <f>SUMIF(G2:G200,G204,J2:J200)</f>
        <v>0</v>
      </c>
      <c r="Z22" s="6">
        <f>SUMIF(G2:G200,G204,K2:K200)</f>
        <v>128000</v>
      </c>
      <c r="AA22" s="23"/>
      <c r="AB22" s="23"/>
      <c r="AC22" s="23"/>
      <c r="AD22" s="23"/>
      <c r="AE22" s="23"/>
      <c r="AF22" s="23"/>
    </row>
    <row r="23" ht="15.75" customHeight="1">
      <c r="A23" s="7">
        <v>46058.0</v>
      </c>
      <c r="B23" s="8" t="s">
        <v>82</v>
      </c>
      <c r="C23" s="9" t="s">
        <v>27</v>
      </c>
      <c r="D23" s="6" t="s">
        <v>24</v>
      </c>
      <c r="E23" s="6" t="s">
        <v>17</v>
      </c>
      <c r="F23" s="6" t="s">
        <v>18</v>
      </c>
      <c r="G23" s="6" t="s">
        <v>19</v>
      </c>
      <c r="H23" s="9">
        <v>100000.0</v>
      </c>
      <c r="I23" s="8"/>
      <c r="J23" s="8"/>
      <c r="K23" s="8"/>
      <c r="N23" s="30" t="s">
        <v>83</v>
      </c>
      <c r="O23" s="43">
        <f>O19+P19+L12</f>
        <v>8199000</v>
      </c>
      <c r="P23" s="42">
        <f>P21+L14-T35</f>
        <v>87587</v>
      </c>
      <c r="R23" s="13" t="s">
        <v>10</v>
      </c>
      <c r="S23" s="39">
        <f>S19*P4</f>
        <v>155400.3592</v>
      </c>
      <c r="T23" s="41">
        <f>S18+S23</f>
        <v>537658.8592</v>
      </c>
      <c r="V23" s="13" t="s">
        <v>19</v>
      </c>
      <c r="W23" s="6">
        <f>SUMIF(G2:G200,G205,H2:H200)</f>
        <v>3610000</v>
      </c>
      <c r="X23" s="6">
        <f>SUMIF(G2:G200,G205,I2:I200)</f>
        <v>2176000</v>
      </c>
      <c r="Y23" s="6">
        <f>SUMIF(G2:G200,G205,J2:J200)</f>
        <v>620000</v>
      </c>
      <c r="Z23" s="6">
        <f>SUMIF(G2:G200,G205,K2:K200)</f>
        <v>1395000</v>
      </c>
      <c r="AA23" s="23"/>
      <c r="AB23" s="23"/>
      <c r="AC23" s="23"/>
      <c r="AD23" s="23"/>
      <c r="AE23" s="23"/>
      <c r="AF23" s="23"/>
    </row>
    <row r="24" ht="15.75" customHeight="1">
      <c r="A24" s="7">
        <v>46058.0</v>
      </c>
      <c r="B24" s="8" t="s">
        <v>84</v>
      </c>
      <c r="C24" s="9" t="s">
        <v>27</v>
      </c>
      <c r="D24" s="6" t="s">
        <v>16</v>
      </c>
      <c r="E24" s="6" t="s">
        <v>17</v>
      </c>
      <c r="F24" s="6" t="s">
        <v>18</v>
      </c>
      <c r="G24" s="6" t="s">
        <v>19</v>
      </c>
      <c r="H24" s="9">
        <v>230000.0</v>
      </c>
      <c r="I24" s="8"/>
      <c r="J24" s="8"/>
      <c r="K24" s="8"/>
      <c r="M24" s="44"/>
      <c r="N24" s="45"/>
      <c r="O24" s="45" t="s">
        <v>85</v>
      </c>
      <c r="P24" s="45" t="s">
        <v>86</v>
      </c>
      <c r="Q24" s="45"/>
      <c r="R24" s="46"/>
      <c r="S24" s="47"/>
      <c r="V24" s="48" t="s">
        <v>21</v>
      </c>
      <c r="W24" s="48">
        <f t="shared" ref="W24:Z24" si="16">W22+W23</f>
        <v>3645000</v>
      </c>
      <c r="X24" s="48">
        <f t="shared" si="16"/>
        <v>2281000</v>
      </c>
      <c r="Y24" s="48">
        <f t="shared" si="16"/>
        <v>620000</v>
      </c>
      <c r="Z24" s="48">
        <f t="shared" si="16"/>
        <v>1523000</v>
      </c>
      <c r="AA24" s="49"/>
      <c r="AB24" s="49"/>
      <c r="AC24" s="49"/>
      <c r="AD24" s="49"/>
      <c r="AE24" s="49"/>
      <c r="AF24" s="49"/>
    </row>
    <row r="25" ht="15.75" customHeight="1">
      <c r="A25" s="7">
        <v>46058.0</v>
      </c>
      <c r="B25" s="8" t="s">
        <v>87</v>
      </c>
      <c r="C25" s="9" t="s">
        <v>15</v>
      </c>
      <c r="D25" s="6" t="s">
        <v>37</v>
      </c>
      <c r="E25" s="6" t="s">
        <v>17</v>
      </c>
      <c r="F25" s="6" t="s">
        <v>18</v>
      </c>
      <c r="G25" s="6" t="s">
        <v>19</v>
      </c>
      <c r="H25" s="8"/>
      <c r="I25" s="8"/>
      <c r="J25" s="8"/>
      <c r="K25" s="8">
        <v>100000.0</v>
      </c>
      <c r="M25" s="50" t="s">
        <v>88</v>
      </c>
      <c r="N25" s="50" t="s">
        <v>89</v>
      </c>
      <c r="O25" s="50" t="s">
        <v>2</v>
      </c>
      <c r="P25" s="51" t="s">
        <v>90</v>
      </c>
      <c r="Q25" s="51" t="s">
        <v>91</v>
      </c>
      <c r="R25" s="51" t="s">
        <v>92</v>
      </c>
      <c r="S25" s="51" t="s">
        <v>93</v>
      </c>
    </row>
    <row r="26" ht="15.75" customHeight="1">
      <c r="A26" s="7">
        <v>46058.0</v>
      </c>
      <c r="B26" s="36" t="s">
        <v>94</v>
      </c>
      <c r="C26" s="37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8"/>
      <c r="I26" s="36">
        <v>250000.0</v>
      </c>
      <c r="J26" s="8"/>
      <c r="K26" s="8"/>
      <c r="M26" s="52"/>
      <c r="N26" s="19" t="s">
        <v>95</v>
      </c>
      <c r="O26" s="53" t="s">
        <v>15</v>
      </c>
      <c r="P26" s="54" t="s">
        <v>20</v>
      </c>
      <c r="Q26" s="53" t="s">
        <v>96</v>
      </c>
      <c r="R26" s="53"/>
      <c r="S26" s="53">
        <v>750000.0</v>
      </c>
      <c r="T26" s="13" t="s">
        <v>97</v>
      </c>
      <c r="V26" s="55" t="s">
        <v>98</v>
      </c>
      <c r="W26" s="55" t="s">
        <v>99</v>
      </c>
      <c r="X26" s="31" t="s">
        <v>100</v>
      </c>
    </row>
    <row r="27" ht="15.75" customHeight="1">
      <c r="A27" s="7">
        <v>46058.0</v>
      </c>
      <c r="B27" s="8" t="s">
        <v>101</v>
      </c>
      <c r="C27" s="9" t="s">
        <v>27</v>
      </c>
      <c r="D27" s="6" t="s">
        <v>37</v>
      </c>
      <c r="E27" s="6" t="s">
        <v>17</v>
      </c>
      <c r="F27" s="6" t="s">
        <v>45</v>
      </c>
      <c r="G27" s="6" t="s">
        <v>46</v>
      </c>
      <c r="H27" s="8"/>
      <c r="I27" s="8"/>
      <c r="J27" s="8"/>
      <c r="K27" s="9">
        <v>50000.0</v>
      </c>
      <c r="M27" s="52"/>
      <c r="N27" s="19" t="s">
        <v>102</v>
      </c>
      <c r="O27" s="53" t="s">
        <v>15</v>
      </c>
      <c r="P27" s="54" t="s">
        <v>10</v>
      </c>
      <c r="Q27" s="53" t="s">
        <v>96</v>
      </c>
      <c r="R27" s="53"/>
      <c r="S27" s="53">
        <v>500000.0</v>
      </c>
      <c r="T27" s="13">
        <f>SUMIF(P26:P200,P204,S26:S200)</f>
        <v>3155250</v>
      </c>
      <c r="V27" s="6">
        <f>R29+R30+R34+S73</f>
        <v>1901613</v>
      </c>
      <c r="W27" s="6">
        <f>S31+S32+S33</f>
        <v>202977</v>
      </c>
    </row>
    <row r="28" ht="15.75" customHeight="1">
      <c r="A28" s="7">
        <v>46062.0</v>
      </c>
      <c r="B28" s="8" t="s">
        <v>103</v>
      </c>
      <c r="C28" s="9" t="s">
        <v>15</v>
      </c>
      <c r="D28" s="6" t="s">
        <v>16</v>
      </c>
      <c r="E28" s="6" t="s">
        <v>17</v>
      </c>
      <c r="F28" s="6" t="s">
        <v>18</v>
      </c>
      <c r="G28" s="6" t="s">
        <v>19</v>
      </c>
      <c r="H28" s="8">
        <v>750000.0</v>
      </c>
      <c r="I28" s="8"/>
      <c r="J28" s="8"/>
      <c r="K28" s="8"/>
      <c r="M28" s="52"/>
      <c r="N28" s="19" t="s">
        <v>104</v>
      </c>
      <c r="O28" s="53" t="s">
        <v>15</v>
      </c>
      <c r="P28" s="19" t="s">
        <v>20</v>
      </c>
      <c r="Q28" s="53" t="s">
        <v>96</v>
      </c>
      <c r="R28" s="53"/>
      <c r="S28" s="53">
        <v>500000.0</v>
      </c>
      <c r="T28" s="13" t="s">
        <v>105</v>
      </c>
      <c r="X28" s="23"/>
    </row>
    <row r="29" ht="15.75" customHeight="1">
      <c r="A29" s="7">
        <v>46062.0</v>
      </c>
      <c r="B29" s="8" t="s">
        <v>106</v>
      </c>
      <c r="C29" s="9" t="s">
        <v>15</v>
      </c>
      <c r="D29" s="6" t="s">
        <v>16</v>
      </c>
      <c r="E29" s="6" t="s">
        <v>17</v>
      </c>
      <c r="F29" s="6" t="s">
        <v>18</v>
      </c>
      <c r="G29" s="6" t="s">
        <v>19</v>
      </c>
      <c r="H29" s="8"/>
      <c r="I29" s="8"/>
      <c r="J29" s="8">
        <v>300000.0</v>
      </c>
      <c r="K29" s="8"/>
      <c r="M29" s="52"/>
      <c r="N29" s="19" t="s">
        <v>107</v>
      </c>
      <c r="O29" s="53" t="s">
        <v>27</v>
      </c>
      <c r="P29" s="19" t="s">
        <v>108</v>
      </c>
      <c r="Q29" s="53" t="s">
        <v>96</v>
      </c>
      <c r="R29" s="53">
        <v>700000.0</v>
      </c>
      <c r="S29" s="53"/>
      <c r="T29" s="13">
        <f>SUMIF(P26:P200,P205,S26:S200)</f>
        <v>0</v>
      </c>
      <c r="V29" s="56" t="s">
        <v>109</v>
      </c>
      <c r="W29" s="39">
        <f>V27+W27</f>
        <v>2104590</v>
      </c>
    </row>
    <row r="30" ht="15.75" customHeight="1">
      <c r="A30" s="7">
        <v>46063.0</v>
      </c>
      <c r="B30" s="8" t="s">
        <v>110</v>
      </c>
      <c r="C30" s="9" t="s">
        <v>15</v>
      </c>
      <c r="D30" s="6" t="s">
        <v>16</v>
      </c>
      <c r="E30" s="6" t="s">
        <v>17</v>
      </c>
      <c r="F30" s="6" t="s">
        <v>18</v>
      </c>
      <c r="G30" s="6" t="s">
        <v>19</v>
      </c>
      <c r="H30" s="8"/>
      <c r="I30" s="8"/>
      <c r="J30" s="8">
        <v>320000.0</v>
      </c>
      <c r="K30" s="8"/>
      <c r="M30" s="52"/>
      <c r="N30" s="19" t="s">
        <v>111</v>
      </c>
      <c r="O30" s="53" t="s">
        <v>27</v>
      </c>
      <c r="P30" s="19" t="s">
        <v>108</v>
      </c>
      <c r="Q30" s="53" t="s">
        <v>96</v>
      </c>
      <c r="R30" s="53">
        <v>738100.0</v>
      </c>
      <c r="S30" s="53"/>
      <c r="T30" s="13" t="s">
        <v>112</v>
      </c>
    </row>
    <row r="31" ht="15.75" customHeight="1">
      <c r="A31" s="7">
        <v>46063.0</v>
      </c>
      <c r="B31" s="9" t="s">
        <v>113</v>
      </c>
      <c r="C31" s="9" t="s">
        <v>27</v>
      </c>
      <c r="D31" s="6" t="s">
        <v>34</v>
      </c>
      <c r="E31" s="6" t="s">
        <v>17</v>
      </c>
      <c r="F31" s="6" t="s">
        <v>45</v>
      </c>
      <c r="G31" s="6" t="s">
        <v>46</v>
      </c>
      <c r="H31" s="8"/>
      <c r="I31" s="8"/>
      <c r="J31" s="8"/>
      <c r="K31" s="8">
        <v>30000.0</v>
      </c>
      <c r="M31" s="52"/>
      <c r="N31" s="19" t="s">
        <v>114</v>
      </c>
      <c r="O31" s="53" t="s">
        <v>15</v>
      </c>
      <c r="P31" s="19" t="s">
        <v>10</v>
      </c>
      <c r="Q31" s="53" t="s">
        <v>96</v>
      </c>
      <c r="R31" s="53"/>
      <c r="S31" s="22">
        <v>109710.0</v>
      </c>
      <c r="T31" s="57">
        <f>SUMIF(P26:P200,P206,S26:S200)</f>
        <v>67000</v>
      </c>
      <c r="AA31" s="58"/>
      <c r="AB31" s="58"/>
      <c r="AC31" s="58"/>
      <c r="AD31" s="58"/>
      <c r="AE31" s="58"/>
      <c r="AF31" s="58"/>
    </row>
    <row r="32" ht="15.75" customHeight="1">
      <c r="A32" s="7">
        <v>46064.0</v>
      </c>
      <c r="B32" s="9" t="s">
        <v>115</v>
      </c>
      <c r="C32" s="9" t="s">
        <v>15</v>
      </c>
      <c r="D32" s="6" t="s">
        <v>28</v>
      </c>
      <c r="E32" s="6" t="s">
        <v>17</v>
      </c>
      <c r="F32" s="6" t="s">
        <v>18</v>
      </c>
      <c r="G32" s="6" t="s">
        <v>19</v>
      </c>
      <c r="H32" s="8">
        <v>500000.0</v>
      </c>
      <c r="I32" s="8"/>
      <c r="J32" s="8"/>
      <c r="K32" s="8"/>
      <c r="M32" s="52"/>
      <c r="N32" s="19" t="s">
        <v>116</v>
      </c>
      <c r="O32" s="53" t="s">
        <v>15</v>
      </c>
      <c r="P32" s="19" t="s">
        <v>10</v>
      </c>
      <c r="Q32" s="53" t="s">
        <v>96</v>
      </c>
      <c r="R32" s="53"/>
      <c r="S32" s="53">
        <v>82720.0</v>
      </c>
      <c r="T32" s="13" t="s">
        <v>117</v>
      </c>
      <c r="V32" s="30" t="s">
        <v>25</v>
      </c>
      <c r="W32" s="30" t="s">
        <v>49</v>
      </c>
      <c r="Y32" s="29" t="s">
        <v>118</v>
      </c>
      <c r="Z32" s="59" t="s">
        <v>119</v>
      </c>
    </row>
    <row r="33" ht="24.0" customHeight="1">
      <c r="A33" s="7">
        <v>46064.0</v>
      </c>
      <c r="B33" s="8" t="s">
        <v>120</v>
      </c>
      <c r="C33" s="9" t="s">
        <v>15</v>
      </c>
      <c r="D33" s="6" t="s">
        <v>24</v>
      </c>
      <c r="E33" s="6" t="s">
        <v>55</v>
      </c>
      <c r="F33" s="6" t="s">
        <v>18</v>
      </c>
      <c r="G33" s="6" t="s">
        <v>19</v>
      </c>
      <c r="H33" s="8">
        <v>100000.0</v>
      </c>
      <c r="I33" s="6"/>
      <c r="J33" s="8"/>
      <c r="K33" s="8"/>
      <c r="M33" s="52"/>
      <c r="N33" s="19" t="s">
        <v>121</v>
      </c>
      <c r="O33" s="53" t="s">
        <v>15</v>
      </c>
      <c r="P33" s="19" t="s">
        <v>10</v>
      </c>
      <c r="Q33" s="53" t="s">
        <v>96</v>
      </c>
      <c r="R33" s="53"/>
      <c r="S33" s="53">
        <v>10547.0</v>
      </c>
      <c r="T33" s="13">
        <f>SUMIF(P26:P200,P207,S26:S200)</f>
        <v>717977</v>
      </c>
      <c r="V33" s="39">
        <f t="shared" ref="V33:W33" si="17">N12</f>
        <v>3750000</v>
      </c>
      <c r="W33" s="39">
        <f t="shared" si="17"/>
        <v>15000000</v>
      </c>
      <c r="Y33" s="39">
        <f>O6</f>
        <v>8199000</v>
      </c>
      <c r="Z33" s="39">
        <f>S4</f>
        <v>5846640</v>
      </c>
    </row>
    <row r="34" ht="15.75" customHeight="1">
      <c r="A34" s="7">
        <v>46064.0</v>
      </c>
      <c r="B34" s="8" t="s">
        <v>122</v>
      </c>
      <c r="C34" s="9" t="s">
        <v>15</v>
      </c>
      <c r="D34" s="6" t="s">
        <v>16</v>
      </c>
      <c r="E34" s="6" t="s">
        <v>17</v>
      </c>
      <c r="F34" s="6" t="s">
        <v>45</v>
      </c>
      <c r="G34" s="6" t="s">
        <v>19</v>
      </c>
      <c r="H34" s="8">
        <v>160000.0</v>
      </c>
      <c r="I34" s="8"/>
      <c r="J34" s="8"/>
      <c r="K34" s="8"/>
      <c r="M34" s="52"/>
      <c r="N34" s="19" t="s">
        <v>123</v>
      </c>
      <c r="O34" s="60" t="s">
        <v>27</v>
      </c>
      <c r="P34" s="19" t="s">
        <v>108</v>
      </c>
      <c r="Q34" s="53" t="s">
        <v>96</v>
      </c>
      <c r="R34" s="53">
        <v>63513.0</v>
      </c>
      <c r="S34" s="53"/>
      <c r="T34" s="61" t="s">
        <v>124</v>
      </c>
      <c r="V34" s="62" t="s">
        <v>125</v>
      </c>
      <c r="W34" s="63"/>
      <c r="X34" s="63"/>
      <c r="Y34" s="63"/>
      <c r="Z34" s="64"/>
    </row>
    <row r="35" ht="15.75" customHeight="1">
      <c r="A35" s="7">
        <v>46066.0</v>
      </c>
      <c r="B35" s="8" t="s">
        <v>126</v>
      </c>
      <c r="C35" s="9" t="s">
        <v>15</v>
      </c>
      <c r="D35" s="6" t="s">
        <v>37</v>
      </c>
      <c r="E35" s="6" t="s">
        <v>17</v>
      </c>
      <c r="F35" s="6" t="s">
        <v>45</v>
      </c>
      <c r="G35" s="6" t="s">
        <v>19</v>
      </c>
      <c r="H35" s="8"/>
      <c r="I35" s="8"/>
      <c r="J35" s="8"/>
      <c r="K35" s="8">
        <v>75000.0</v>
      </c>
      <c r="M35" s="52"/>
      <c r="N35" s="19" t="s">
        <v>127</v>
      </c>
      <c r="O35" s="19" t="s">
        <v>15</v>
      </c>
      <c r="P35" s="19" t="s">
        <v>20</v>
      </c>
      <c r="Q35" s="53" t="s">
        <v>96</v>
      </c>
      <c r="R35" s="53"/>
      <c r="S35" s="65">
        <v>650000.0</v>
      </c>
      <c r="T35" s="61">
        <f>SUMIF(P26:P200,P208,R26:R200)</f>
        <v>1906413</v>
      </c>
      <c r="V35" s="29" t="s">
        <v>128</v>
      </c>
      <c r="W35" s="66" t="s">
        <v>20</v>
      </c>
      <c r="X35" s="66" t="s">
        <v>8</v>
      </c>
      <c r="Y35" s="66" t="s">
        <v>9</v>
      </c>
      <c r="Z35" s="66" t="s">
        <v>10</v>
      </c>
    </row>
    <row r="36" ht="15.75" customHeight="1">
      <c r="A36" s="7">
        <v>46071.0</v>
      </c>
      <c r="B36" s="36" t="s">
        <v>129</v>
      </c>
      <c r="C36" s="37" t="s">
        <v>15</v>
      </c>
      <c r="D36" s="6" t="s">
        <v>16</v>
      </c>
      <c r="E36" s="6" t="s">
        <v>17</v>
      </c>
      <c r="F36" s="6" t="s">
        <v>18</v>
      </c>
      <c r="G36" s="6" t="s">
        <v>19</v>
      </c>
      <c r="H36" s="8"/>
      <c r="I36" s="8">
        <v>775000.0</v>
      </c>
      <c r="J36" s="8"/>
      <c r="K36" s="8"/>
      <c r="M36" s="52"/>
      <c r="N36" s="19" t="s">
        <v>130</v>
      </c>
      <c r="O36" s="19" t="s">
        <v>15</v>
      </c>
      <c r="P36" s="19" t="s">
        <v>9</v>
      </c>
      <c r="Q36" s="53" t="s">
        <v>96</v>
      </c>
      <c r="R36" s="53"/>
      <c r="S36" s="53">
        <v>21000.0</v>
      </c>
      <c r="V36" s="13" t="s">
        <v>131</v>
      </c>
      <c r="W36" s="13">
        <f>M15</f>
        <v>16</v>
      </c>
      <c r="X36" s="13">
        <f>M16</f>
        <v>9</v>
      </c>
      <c r="Y36" s="13">
        <f>M17</f>
        <v>2</v>
      </c>
      <c r="Z36" s="13">
        <f>M18</f>
        <v>9</v>
      </c>
    </row>
    <row r="37" ht="15.75" customHeight="1">
      <c r="A37" s="67"/>
      <c r="B37" s="8"/>
      <c r="C37" s="9"/>
      <c r="D37" s="6"/>
      <c r="E37" s="6"/>
      <c r="F37" s="6"/>
      <c r="G37" s="6"/>
      <c r="H37" s="8"/>
      <c r="I37" s="8"/>
      <c r="J37" s="6"/>
      <c r="K37" s="8"/>
      <c r="M37" s="52"/>
      <c r="N37" s="19" t="s">
        <v>132</v>
      </c>
      <c r="O37" s="19" t="s">
        <v>15</v>
      </c>
      <c r="P37" s="19" t="s">
        <v>9</v>
      </c>
      <c r="Q37" s="53" t="s">
        <v>96</v>
      </c>
      <c r="R37" s="53"/>
      <c r="S37" s="53">
        <v>26000.0</v>
      </c>
      <c r="V37" s="13" t="s">
        <v>133</v>
      </c>
      <c r="W37" s="13">
        <f t="shared" ref="W37:Z37" si="18">W22</f>
        <v>35000</v>
      </c>
      <c r="X37" s="13">
        <f t="shared" si="18"/>
        <v>105000</v>
      </c>
      <c r="Y37" s="13">
        <f t="shared" si="18"/>
        <v>0</v>
      </c>
      <c r="Z37" s="13">
        <f t="shared" si="18"/>
        <v>128000</v>
      </c>
    </row>
    <row r="38" ht="15.75" customHeight="1">
      <c r="A38" s="67"/>
      <c r="B38" s="8"/>
      <c r="C38" s="9"/>
      <c r="D38" s="6"/>
      <c r="E38" s="6"/>
      <c r="F38" s="6"/>
      <c r="G38" s="6"/>
      <c r="H38" s="8"/>
      <c r="I38" s="8"/>
      <c r="J38" s="8"/>
      <c r="K38" s="8"/>
      <c r="M38" s="52"/>
      <c r="N38" s="19" t="s">
        <v>134</v>
      </c>
      <c r="O38" s="54" t="s">
        <v>15</v>
      </c>
      <c r="P38" s="19" t="s">
        <v>20</v>
      </c>
      <c r="Q38" s="53" t="s">
        <v>96</v>
      </c>
      <c r="R38" s="53"/>
      <c r="S38" s="53">
        <v>30000.0</v>
      </c>
      <c r="V38" s="13" t="s">
        <v>135</v>
      </c>
      <c r="W38" s="13">
        <f t="shared" ref="W38:Z38" si="19">W23</f>
        <v>3610000</v>
      </c>
      <c r="X38" s="13">
        <f t="shared" si="19"/>
        <v>2176000</v>
      </c>
      <c r="Y38" s="13">
        <f t="shared" si="19"/>
        <v>620000</v>
      </c>
      <c r="Z38" s="13">
        <f t="shared" si="19"/>
        <v>1395000</v>
      </c>
    </row>
    <row r="39" ht="15.75" customHeight="1">
      <c r="A39" s="67"/>
      <c r="B39" s="9"/>
      <c r="C39" s="9"/>
      <c r="D39" s="6"/>
      <c r="E39" s="6"/>
      <c r="F39" s="6"/>
      <c r="G39" s="6"/>
      <c r="H39" s="8"/>
      <c r="I39" s="8"/>
      <c r="J39" s="8"/>
      <c r="K39" s="8"/>
      <c r="M39" s="52"/>
      <c r="N39" s="19" t="s">
        <v>136</v>
      </c>
      <c r="O39" s="54" t="s">
        <v>15</v>
      </c>
      <c r="P39" s="19" t="s">
        <v>10</v>
      </c>
      <c r="Q39" s="53" t="s">
        <v>96</v>
      </c>
      <c r="R39" s="53"/>
      <c r="S39" s="53">
        <v>15000.0</v>
      </c>
      <c r="V39" s="29" t="s">
        <v>137</v>
      </c>
      <c r="W39" s="29">
        <f t="shared" ref="W39:Z39" si="20">W37+W38</f>
        <v>3645000</v>
      </c>
      <c r="X39" s="29">
        <f t="shared" si="20"/>
        <v>2281000</v>
      </c>
      <c r="Y39" s="29">
        <f t="shared" si="20"/>
        <v>620000</v>
      </c>
      <c r="Z39" s="29">
        <f t="shared" si="20"/>
        <v>1523000</v>
      </c>
    </row>
    <row r="40" ht="15.75" customHeight="1">
      <c r="A40" s="67"/>
      <c r="B40" s="8"/>
      <c r="C40" s="9"/>
      <c r="D40" s="6"/>
      <c r="E40" s="6"/>
      <c r="F40" s="6"/>
      <c r="G40" s="6"/>
      <c r="H40" s="8"/>
      <c r="I40" s="8"/>
      <c r="J40" s="8"/>
      <c r="K40" s="8"/>
      <c r="M40" s="67">
        <v>46036.0</v>
      </c>
      <c r="N40" s="68" t="s">
        <v>138</v>
      </c>
      <c r="O40" s="8" t="s">
        <v>27</v>
      </c>
      <c r="P40" s="8" t="s">
        <v>108</v>
      </c>
      <c r="Q40" s="6" t="s">
        <v>139</v>
      </c>
      <c r="R40" s="8">
        <v>18000.0</v>
      </c>
      <c r="S40" s="6"/>
      <c r="V40" s="13" t="s">
        <v>140</v>
      </c>
      <c r="W40" s="69">
        <f t="shared" ref="W40:Z40" si="21">M3</f>
        <v>0.972</v>
      </c>
      <c r="X40" s="69">
        <f t="shared" si="21"/>
        <v>0.6082666667</v>
      </c>
      <c r="Y40" s="69">
        <f t="shared" si="21"/>
        <v>0.1653333333</v>
      </c>
      <c r="Z40" s="69">
        <f t="shared" si="21"/>
        <v>0.4061333333</v>
      </c>
    </row>
    <row r="41" ht="15.75" customHeight="1">
      <c r="A41" s="67"/>
      <c r="B41" s="8"/>
      <c r="C41" s="9"/>
      <c r="D41" s="6"/>
      <c r="E41" s="6"/>
      <c r="F41" s="6"/>
      <c r="G41" s="6"/>
      <c r="H41" s="8"/>
      <c r="I41" s="8"/>
      <c r="J41" s="8"/>
      <c r="K41" s="8"/>
      <c r="M41" s="67">
        <v>46036.0</v>
      </c>
      <c r="N41" s="8" t="s">
        <v>141</v>
      </c>
      <c r="O41" s="8" t="s">
        <v>27</v>
      </c>
      <c r="P41" s="8" t="s">
        <v>108</v>
      </c>
      <c r="Q41" s="8" t="s">
        <v>139</v>
      </c>
      <c r="R41" s="8">
        <v>100000.0</v>
      </c>
      <c r="S41" s="6"/>
      <c r="V41" s="13" t="s">
        <v>142</v>
      </c>
      <c r="W41" s="69">
        <f t="shared" ref="W41:Z41" si="22">M2/$O$12</f>
        <v>0.243</v>
      </c>
      <c r="X41" s="69">
        <f t="shared" si="22"/>
        <v>0.1520666667</v>
      </c>
      <c r="Y41" s="69">
        <f t="shared" si="22"/>
        <v>0.04133333333</v>
      </c>
      <c r="Z41" s="69">
        <f t="shared" si="22"/>
        <v>0.1015333333</v>
      </c>
    </row>
    <row r="42" ht="15.75" customHeight="1">
      <c r="A42" s="67"/>
      <c r="B42" s="8"/>
      <c r="C42" s="9"/>
      <c r="D42" s="6"/>
      <c r="E42" s="6"/>
      <c r="F42" s="6"/>
      <c r="G42" s="6"/>
      <c r="H42" s="8"/>
      <c r="I42" s="8"/>
      <c r="J42" s="8"/>
      <c r="K42" s="8"/>
      <c r="M42" s="7">
        <v>46037.0</v>
      </c>
      <c r="N42" s="8" t="s">
        <v>143</v>
      </c>
      <c r="O42" s="8" t="s">
        <v>15</v>
      </c>
      <c r="P42" s="8" t="s">
        <v>20</v>
      </c>
      <c r="Q42" s="8" t="s">
        <v>139</v>
      </c>
      <c r="R42" s="8"/>
      <c r="S42" s="8">
        <v>10400.0</v>
      </c>
      <c r="V42" s="13" t="s">
        <v>144</v>
      </c>
      <c r="W42" s="69">
        <f t="shared" ref="W42:Z42" si="23">M4</f>
        <v>0.4517288388</v>
      </c>
      <c r="X42" s="69">
        <f t="shared" si="23"/>
        <v>0.2826868261</v>
      </c>
      <c r="Y42" s="69">
        <f t="shared" si="23"/>
        <v>0.07683727847</v>
      </c>
      <c r="Z42" s="69">
        <f t="shared" si="23"/>
        <v>0.1887470566</v>
      </c>
    </row>
    <row r="43" ht="15.75" customHeight="1">
      <c r="A43" s="67"/>
      <c r="B43" s="8"/>
      <c r="C43" s="9"/>
      <c r="D43" s="6"/>
      <c r="E43" s="6"/>
      <c r="F43" s="6"/>
      <c r="G43" s="6"/>
      <c r="H43" s="8"/>
      <c r="I43" s="8"/>
      <c r="J43" s="8"/>
      <c r="K43" s="8"/>
      <c r="M43" s="7">
        <v>46038.0</v>
      </c>
      <c r="N43" s="68" t="s">
        <v>145</v>
      </c>
      <c r="O43" s="8" t="s">
        <v>27</v>
      </c>
      <c r="P43" s="8" t="s">
        <v>108</v>
      </c>
      <c r="Q43" s="8" t="s">
        <v>139</v>
      </c>
      <c r="R43" s="6">
        <v>30000.0</v>
      </c>
      <c r="S43" s="68"/>
    </row>
    <row r="44" ht="15.75" customHeight="1">
      <c r="A44" s="67"/>
      <c r="B44" s="8"/>
      <c r="C44" s="9"/>
      <c r="D44" s="6"/>
      <c r="E44" s="6"/>
      <c r="F44" s="6"/>
      <c r="G44" s="6"/>
      <c r="H44" s="8"/>
      <c r="I44" s="8"/>
      <c r="J44" s="8"/>
      <c r="K44" s="8"/>
      <c r="M44" s="7">
        <v>46042.0</v>
      </c>
      <c r="N44" s="68" t="s">
        <v>146</v>
      </c>
      <c r="O44" s="8" t="s">
        <v>15</v>
      </c>
      <c r="P44" s="8" t="s">
        <v>9</v>
      </c>
      <c r="Q44" s="8" t="s">
        <v>147</v>
      </c>
      <c r="R44" s="6"/>
      <c r="S44" s="68">
        <v>20000.0</v>
      </c>
    </row>
    <row r="45" ht="15.75" customHeight="1">
      <c r="A45" s="67"/>
      <c r="B45" s="8"/>
      <c r="C45" s="9"/>
      <c r="D45" s="6"/>
      <c r="E45" s="6"/>
      <c r="F45" s="6"/>
      <c r="G45" s="6"/>
      <c r="H45" s="8"/>
      <c r="I45" s="8"/>
      <c r="J45" s="8"/>
      <c r="K45" s="8"/>
      <c r="M45" s="7">
        <v>46042.0</v>
      </c>
      <c r="N45" s="8" t="s">
        <v>148</v>
      </c>
      <c r="O45" s="8" t="s">
        <v>15</v>
      </c>
      <c r="P45" s="8" t="s">
        <v>20</v>
      </c>
      <c r="Q45" s="8" t="s">
        <v>139</v>
      </c>
      <c r="R45" s="6"/>
      <c r="S45" s="8">
        <v>51000.0</v>
      </c>
      <c r="V45" s="70" t="s">
        <v>149</v>
      </c>
      <c r="W45" s="63"/>
      <c r="X45" s="63"/>
      <c r="Y45" s="63"/>
      <c r="Z45" s="64"/>
    </row>
    <row r="46" ht="15.75" customHeight="1">
      <c r="A46" s="67"/>
      <c r="B46" s="8"/>
      <c r="C46" s="9"/>
      <c r="D46" s="6"/>
      <c r="E46" s="6"/>
      <c r="F46" s="6"/>
      <c r="G46" s="6"/>
      <c r="H46" s="8"/>
      <c r="I46" s="8"/>
      <c r="J46" s="8"/>
      <c r="K46" s="8"/>
      <c r="M46" s="7">
        <v>46043.0</v>
      </c>
      <c r="N46" s="8" t="s">
        <v>150</v>
      </c>
      <c r="O46" s="8" t="s">
        <v>15</v>
      </c>
      <c r="P46" s="8" t="s">
        <v>20</v>
      </c>
      <c r="Q46" s="8" t="s">
        <v>147</v>
      </c>
      <c r="R46" s="6"/>
      <c r="S46" s="8">
        <v>79400.0</v>
      </c>
      <c r="V46" s="71"/>
      <c r="W46" s="53" t="s">
        <v>151</v>
      </c>
      <c r="X46" s="53" t="s">
        <v>152</v>
      </c>
      <c r="Y46" s="53" t="s">
        <v>153</v>
      </c>
      <c r="Z46" s="53" t="s">
        <v>154</v>
      </c>
    </row>
    <row r="47" ht="15.75" customHeight="1">
      <c r="A47" s="67"/>
      <c r="B47" s="8"/>
      <c r="C47" s="9"/>
      <c r="D47" s="6"/>
      <c r="E47" s="6"/>
      <c r="F47" s="6"/>
      <c r="G47" s="6"/>
      <c r="H47" s="8"/>
      <c r="I47" s="8"/>
      <c r="J47" s="8"/>
      <c r="K47" s="8"/>
      <c r="M47" s="7">
        <v>46044.0</v>
      </c>
      <c r="N47" s="9" t="s">
        <v>145</v>
      </c>
      <c r="O47" s="8" t="s">
        <v>15</v>
      </c>
      <c r="P47" s="8" t="s">
        <v>20</v>
      </c>
      <c r="Q47" s="8" t="s">
        <v>139</v>
      </c>
      <c r="R47" s="6"/>
      <c r="S47" s="8">
        <v>40000.0</v>
      </c>
      <c r="V47" s="6"/>
      <c r="W47" s="39">
        <f>Q8</f>
        <v>2352360</v>
      </c>
      <c r="X47" s="39">
        <f>P23</f>
        <v>87587</v>
      </c>
      <c r="Y47" s="39">
        <f>S17</f>
        <v>1529034</v>
      </c>
      <c r="Z47" s="39">
        <f>S19</f>
        <v>823326</v>
      </c>
    </row>
    <row r="48" ht="24.75" customHeight="1">
      <c r="A48" s="67"/>
      <c r="B48" s="8"/>
      <c r="C48" s="9"/>
      <c r="D48" s="6"/>
      <c r="E48" s="6"/>
      <c r="F48" s="6"/>
      <c r="G48" s="6"/>
      <c r="H48" s="8"/>
      <c r="I48" s="8"/>
      <c r="J48" s="8"/>
      <c r="K48" s="8"/>
      <c r="M48" s="7">
        <v>46048.0</v>
      </c>
      <c r="N48" s="9" t="s">
        <v>155</v>
      </c>
      <c r="O48" s="8" t="s">
        <v>27</v>
      </c>
      <c r="P48" s="8" t="s">
        <v>108</v>
      </c>
      <c r="Q48" s="8" t="s">
        <v>139</v>
      </c>
      <c r="R48" s="6">
        <v>20300.0</v>
      </c>
      <c r="S48" s="8"/>
      <c r="V48" s="53" t="s">
        <v>128</v>
      </c>
      <c r="W48" s="72" t="s">
        <v>20</v>
      </c>
      <c r="X48" s="72" t="s">
        <v>8</v>
      </c>
      <c r="Y48" s="72" t="s">
        <v>9</v>
      </c>
      <c r="Z48" s="72" t="s">
        <v>10</v>
      </c>
    </row>
    <row r="49" ht="15.75" customHeight="1">
      <c r="A49" s="67"/>
      <c r="B49" s="8"/>
      <c r="C49" s="9"/>
      <c r="D49" s="6"/>
      <c r="E49" s="6"/>
      <c r="F49" s="6"/>
      <c r="G49" s="6"/>
      <c r="H49" s="8"/>
      <c r="I49" s="8"/>
      <c r="J49" s="8"/>
      <c r="K49" s="8"/>
      <c r="M49" s="7">
        <v>46048.0</v>
      </c>
      <c r="N49" s="68" t="s">
        <v>138</v>
      </c>
      <c r="O49" s="8" t="s">
        <v>27</v>
      </c>
      <c r="P49" s="8" t="s">
        <v>108</v>
      </c>
      <c r="Q49" s="8" t="s">
        <v>139</v>
      </c>
      <c r="R49" s="6">
        <v>18000.0</v>
      </c>
      <c r="S49" s="8"/>
      <c r="V49" s="13" t="s">
        <v>156</v>
      </c>
      <c r="W49" s="39">
        <f>S18</f>
        <v>382258.5</v>
      </c>
      <c r="X49" s="39">
        <f>S18</f>
        <v>382258.5</v>
      </c>
      <c r="Y49" s="39">
        <f>S18</f>
        <v>382258.5</v>
      </c>
      <c r="Z49" s="39">
        <f>S18</f>
        <v>382258.5</v>
      </c>
    </row>
    <row r="50" ht="14.25" customHeight="1">
      <c r="A50" s="67"/>
      <c r="B50" s="8"/>
      <c r="C50" s="9"/>
      <c r="D50" s="6"/>
      <c r="E50" s="6"/>
      <c r="F50" s="6"/>
      <c r="G50" s="6"/>
      <c r="H50" s="8"/>
      <c r="I50" s="8"/>
      <c r="J50" s="8"/>
      <c r="K50" s="8"/>
      <c r="M50" s="7">
        <v>46048.0</v>
      </c>
      <c r="N50" s="8" t="s">
        <v>157</v>
      </c>
      <c r="O50" s="8" t="s">
        <v>15</v>
      </c>
      <c r="P50" s="8" t="s">
        <v>20</v>
      </c>
      <c r="Q50" s="8" t="s">
        <v>139</v>
      </c>
      <c r="R50" s="6"/>
      <c r="S50" s="8">
        <v>3000.0</v>
      </c>
      <c r="V50" s="13" t="s">
        <v>158</v>
      </c>
      <c r="W50" s="39">
        <f>S20</f>
        <v>371920.0979</v>
      </c>
      <c r="X50" s="39">
        <f>S21</f>
        <v>232743.4138</v>
      </c>
      <c r="Y50" s="39">
        <f>S22</f>
        <v>63262.12914</v>
      </c>
      <c r="Z50" s="39">
        <f>S23</f>
        <v>155400.3592</v>
      </c>
    </row>
    <row r="51" ht="15.75" customHeight="1">
      <c r="A51" s="67"/>
      <c r="B51" s="8"/>
      <c r="C51" s="9"/>
      <c r="D51" s="6"/>
      <c r="E51" s="6"/>
      <c r="F51" s="6"/>
      <c r="G51" s="6"/>
      <c r="H51" s="8"/>
      <c r="I51" s="8"/>
      <c r="J51" s="8"/>
      <c r="K51" s="8"/>
      <c r="M51" s="7">
        <v>46052.0</v>
      </c>
      <c r="N51" s="8" t="s">
        <v>159</v>
      </c>
      <c r="O51" s="8" t="s">
        <v>27</v>
      </c>
      <c r="P51" s="8" t="s">
        <v>108</v>
      </c>
      <c r="Q51" s="8" t="s">
        <v>139</v>
      </c>
      <c r="R51" s="6">
        <v>19000.0</v>
      </c>
      <c r="S51" s="8"/>
      <c r="V51" s="29" t="s">
        <v>160</v>
      </c>
      <c r="W51" s="73">
        <f>T20</f>
        <v>754178.5979</v>
      </c>
      <c r="X51" s="73">
        <f>T21</f>
        <v>615001.9138</v>
      </c>
      <c r="Y51" s="73">
        <f>T22</f>
        <v>445520.6291</v>
      </c>
      <c r="Z51" s="73">
        <f>T23</f>
        <v>537658.8592</v>
      </c>
    </row>
    <row r="52" ht="27.0" customHeight="1">
      <c r="A52" s="67"/>
      <c r="B52" s="8"/>
      <c r="C52" s="9"/>
      <c r="D52" s="6"/>
      <c r="E52" s="6"/>
      <c r="F52" s="6"/>
      <c r="G52" s="6"/>
      <c r="H52" s="8"/>
      <c r="I52" s="8"/>
      <c r="J52" s="8"/>
      <c r="K52" s="8"/>
      <c r="M52" s="7">
        <v>46055.0</v>
      </c>
      <c r="N52" s="8" t="s">
        <v>161</v>
      </c>
      <c r="O52" s="8" t="s">
        <v>27</v>
      </c>
      <c r="P52" s="8" t="s">
        <v>108</v>
      </c>
      <c r="Q52" s="8" t="s">
        <v>139</v>
      </c>
      <c r="R52" s="6">
        <v>5500.0</v>
      </c>
      <c r="S52" s="8"/>
    </row>
    <row r="53" ht="26.25" customHeight="1">
      <c r="A53" s="67"/>
      <c r="B53" s="8"/>
      <c r="C53" s="9"/>
      <c r="D53" s="6"/>
      <c r="E53" s="6"/>
      <c r="F53" s="6"/>
      <c r="G53" s="6"/>
      <c r="H53" s="8"/>
      <c r="I53" s="8"/>
      <c r="J53" s="8"/>
      <c r="K53" s="8"/>
      <c r="M53" s="7">
        <v>46055.0</v>
      </c>
      <c r="N53" s="68" t="s">
        <v>138</v>
      </c>
      <c r="O53" s="8" t="s">
        <v>27</v>
      </c>
      <c r="P53" s="8" t="s">
        <v>108</v>
      </c>
      <c r="Q53" s="8" t="s">
        <v>139</v>
      </c>
      <c r="R53" s="6">
        <v>18000.0</v>
      </c>
      <c r="S53" s="8"/>
      <c r="V53" s="74" t="s">
        <v>15</v>
      </c>
      <c r="W53" s="63"/>
      <c r="X53" s="63"/>
      <c r="Y53" s="63"/>
      <c r="Z53" s="64"/>
    </row>
    <row r="54" ht="15.75" customHeight="1">
      <c r="A54" s="67"/>
      <c r="B54" s="8"/>
      <c r="C54" s="9"/>
      <c r="D54" s="6"/>
      <c r="E54" s="6"/>
      <c r="F54" s="6"/>
      <c r="G54" s="6"/>
      <c r="H54" s="8"/>
      <c r="I54" s="8"/>
      <c r="J54" s="8"/>
      <c r="K54" s="8"/>
      <c r="M54" s="7">
        <v>46058.0</v>
      </c>
      <c r="N54" s="8" t="s">
        <v>138</v>
      </c>
      <c r="O54" s="8" t="s">
        <v>27</v>
      </c>
      <c r="P54" s="8" t="s">
        <v>108</v>
      </c>
      <c r="Q54" s="8" t="s">
        <v>139</v>
      </c>
      <c r="R54" s="6">
        <v>12000.0</v>
      </c>
      <c r="S54" s="8"/>
      <c r="V54" s="75"/>
      <c r="W54" s="76" t="s">
        <v>7</v>
      </c>
      <c r="X54" s="76" t="s">
        <v>8</v>
      </c>
      <c r="Y54" s="76" t="s">
        <v>9</v>
      </c>
      <c r="Z54" s="76" t="s">
        <v>10</v>
      </c>
    </row>
    <row r="55" ht="15.75" customHeight="1">
      <c r="A55" s="67"/>
      <c r="B55" s="8"/>
      <c r="C55" s="9"/>
      <c r="D55" s="6"/>
      <c r="E55" s="6"/>
      <c r="F55" s="6"/>
      <c r="G55" s="6"/>
      <c r="H55" s="8"/>
      <c r="I55" s="6"/>
      <c r="J55" s="8"/>
      <c r="K55" s="8"/>
      <c r="M55" s="7">
        <v>46058.0</v>
      </c>
      <c r="N55" s="8" t="s">
        <v>162</v>
      </c>
      <c r="O55" s="8" t="s">
        <v>15</v>
      </c>
      <c r="P55" s="8" t="s">
        <v>20</v>
      </c>
      <c r="Q55" s="8" t="s">
        <v>147</v>
      </c>
      <c r="R55" s="6"/>
      <c r="S55" s="8">
        <v>21150.0</v>
      </c>
      <c r="V55" s="13" t="s">
        <v>163</v>
      </c>
      <c r="W55" s="13">
        <f t="shared" ref="W55:Z55" si="24">W56+W57</f>
        <v>4375000</v>
      </c>
      <c r="X55" s="13">
        <f t="shared" si="24"/>
        <v>417000</v>
      </c>
      <c r="Y55" s="13">
        <f t="shared" si="24"/>
        <v>620000</v>
      </c>
      <c r="Z55" s="13">
        <f t="shared" si="24"/>
        <v>793000</v>
      </c>
    </row>
    <row r="56" ht="15.75" customHeight="1">
      <c r="A56" s="67"/>
      <c r="B56" s="8"/>
      <c r="C56" s="9"/>
      <c r="D56" s="6"/>
      <c r="E56" s="6"/>
      <c r="F56" s="6"/>
      <c r="G56" s="6"/>
      <c r="H56" s="8"/>
      <c r="I56" s="8"/>
      <c r="J56" s="8"/>
      <c r="K56" s="8"/>
      <c r="M56" s="7">
        <v>46058.0</v>
      </c>
      <c r="N56" s="8" t="s">
        <v>145</v>
      </c>
      <c r="O56" s="8" t="s">
        <v>27</v>
      </c>
      <c r="P56" s="8" t="s">
        <v>108</v>
      </c>
      <c r="Q56" s="8" t="s">
        <v>139</v>
      </c>
      <c r="R56" s="8">
        <v>40000.0</v>
      </c>
      <c r="S56" s="6"/>
      <c r="V56" s="13" t="s">
        <v>164</v>
      </c>
      <c r="W56" s="13">
        <f>T27</f>
        <v>3155250</v>
      </c>
      <c r="X56" s="13">
        <f>T29</f>
        <v>0</v>
      </c>
      <c r="Y56" s="13">
        <f>T31</f>
        <v>67000</v>
      </c>
      <c r="Z56" s="13">
        <f>T33</f>
        <v>717977</v>
      </c>
    </row>
    <row r="57" ht="15.75" customHeight="1">
      <c r="A57" s="67"/>
      <c r="B57" s="8"/>
      <c r="C57" s="9"/>
      <c r="D57" s="6"/>
      <c r="E57" s="6"/>
      <c r="F57" s="6"/>
      <c r="G57" s="6"/>
      <c r="H57" s="8"/>
      <c r="I57" s="8"/>
      <c r="J57" s="8"/>
      <c r="K57" s="8"/>
      <c r="M57" s="7">
        <v>46058.0</v>
      </c>
      <c r="N57" s="8" t="s">
        <v>165</v>
      </c>
      <c r="O57" s="8" t="s">
        <v>15</v>
      </c>
      <c r="P57" s="8" t="s">
        <v>20</v>
      </c>
      <c r="Q57" s="8" t="s">
        <v>147</v>
      </c>
      <c r="R57" s="8"/>
      <c r="S57" s="6">
        <v>47600.0</v>
      </c>
      <c r="V57" s="75" t="s">
        <v>166</v>
      </c>
      <c r="W57" s="75">
        <f>T12</f>
        <v>1219750</v>
      </c>
      <c r="X57" s="75">
        <f>T13</f>
        <v>417000</v>
      </c>
      <c r="Y57" s="75">
        <f>T14</f>
        <v>553000</v>
      </c>
      <c r="Z57" s="75">
        <f>T15</f>
        <v>75023</v>
      </c>
    </row>
    <row r="58" ht="15.75" customHeight="1">
      <c r="A58" s="67"/>
      <c r="B58" s="8"/>
      <c r="C58" s="9"/>
      <c r="D58" s="6"/>
      <c r="E58" s="6"/>
      <c r="F58" s="6"/>
      <c r="G58" s="6"/>
      <c r="H58" s="8"/>
      <c r="I58" s="8"/>
      <c r="J58" s="8"/>
      <c r="K58" s="8"/>
      <c r="M58" s="7">
        <v>46059.0</v>
      </c>
      <c r="N58" s="8" t="s">
        <v>167</v>
      </c>
      <c r="O58" s="8" t="s">
        <v>15</v>
      </c>
      <c r="P58" s="8" t="s">
        <v>20</v>
      </c>
      <c r="Q58" s="8" t="s">
        <v>147</v>
      </c>
      <c r="R58" s="8"/>
      <c r="S58" s="6">
        <v>30600.0</v>
      </c>
      <c r="V58" s="75" t="s">
        <v>168</v>
      </c>
      <c r="W58" s="77">
        <f t="shared" ref="W58:Z58" si="25">W51-W57</f>
        <v>-465571.4021</v>
      </c>
      <c r="X58" s="77">
        <f t="shared" si="25"/>
        <v>198001.9138</v>
      </c>
      <c r="Y58" s="77">
        <f t="shared" si="25"/>
        <v>-107479.3709</v>
      </c>
      <c r="Z58" s="77">
        <f t="shared" si="25"/>
        <v>462635.8592</v>
      </c>
    </row>
    <row r="59" ht="15.75" customHeight="1">
      <c r="A59" s="67"/>
      <c r="B59" s="8"/>
      <c r="C59" s="8"/>
      <c r="D59" s="6"/>
      <c r="E59" s="6"/>
      <c r="F59" s="6"/>
      <c r="G59" s="6"/>
      <c r="H59" s="8"/>
      <c r="I59" s="8"/>
      <c r="J59" s="8"/>
      <c r="K59" s="8"/>
      <c r="M59" s="7">
        <v>46059.0</v>
      </c>
      <c r="N59" s="9" t="s">
        <v>169</v>
      </c>
      <c r="O59" s="8" t="s">
        <v>15</v>
      </c>
      <c r="P59" s="8" t="s">
        <v>20</v>
      </c>
      <c r="Q59" s="8" t="s">
        <v>139</v>
      </c>
      <c r="R59" s="8"/>
      <c r="S59" s="6">
        <v>300000.0</v>
      </c>
    </row>
    <row r="60" ht="15.75" customHeight="1">
      <c r="A60" s="67"/>
      <c r="B60" s="8"/>
      <c r="C60" s="8"/>
      <c r="D60" s="6"/>
      <c r="E60" s="6"/>
      <c r="F60" s="6"/>
      <c r="G60" s="6"/>
      <c r="H60" s="8"/>
      <c r="I60" s="8"/>
      <c r="J60" s="8"/>
      <c r="K60" s="8"/>
      <c r="M60" s="7">
        <v>46062.0</v>
      </c>
      <c r="N60" s="68" t="s">
        <v>138</v>
      </c>
      <c r="O60" s="8" t="s">
        <v>27</v>
      </c>
      <c r="P60" s="8" t="s">
        <v>108</v>
      </c>
      <c r="Q60" s="8" t="s">
        <v>139</v>
      </c>
      <c r="R60" s="8">
        <v>16500.0</v>
      </c>
      <c r="S60" s="6"/>
    </row>
    <row r="61" ht="15.75" customHeight="1">
      <c r="A61" s="67"/>
      <c r="B61" s="8"/>
      <c r="C61" s="8"/>
      <c r="D61" s="6"/>
      <c r="E61" s="6"/>
      <c r="F61" s="6"/>
      <c r="G61" s="6"/>
      <c r="H61" s="8"/>
      <c r="I61" s="8"/>
      <c r="J61" s="8"/>
      <c r="K61" s="8"/>
      <c r="M61" s="7">
        <v>46041.0</v>
      </c>
      <c r="N61" s="68" t="s">
        <v>138</v>
      </c>
      <c r="O61" s="78" t="s">
        <v>27</v>
      </c>
      <c r="P61" s="78" t="s">
        <v>108</v>
      </c>
      <c r="Q61" s="78" t="s">
        <v>139</v>
      </c>
      <c r="R61" s="78">
        <v>18000.0</v>
      </c>
      <c r="S61" s="6"/>
    </row>
    <row r="62" ht="15.75" customHeight="1">
      <c r="A62" s="67"/>
      <c r="B62" s="8"/>
      <c r="C62" s="8"/>
      <c r="D62" s="6"/>
      <c r="E62" s="6"/>
      <c r="F62" s="6"/>
      <c r="G62" s="6"/>
      <c r="H62" s="8"/>
      <c r="I62" s="8"/>
      <c r="J62" s="8"/>
      <c r="K62" s="8"/>
      <c r="M62" s="7">
        <v>46062.0</v>
      </c>
      <c r="N62" s="9" t="s">
        <v>170</v>
      </c>
      <c r="O62" s="9" t="s">
        <v>15</v>
      </c>
      <c r="P62" s="9" t="s">
        <v>20</v>
      </c>
      <c r="Q62" s="9" t="s">
        <v>147</v>
      </c>
      <c r="R62" s="9"/>
      <c r="S62" s="6">
        <v>10100.0</v>
      </c>
    </row>
    <row r="63" ht="15.75" customHeight="1">
      <c r="A63" s="67"/>
      <c r="B63" s="8"/>
      <c r="C63" s="8"/>
      <c r="D63" s="6"/>
      <c r="E63" s="6"/>
      <c r="F63" s="6"/>
      <c r="G63" s="6"/>
      <c r="H63" s="8"/>
      <c r="I63" s="8"/>
      <c r="J63" s="8"/>
      <c r="K63" s="8"/>
      <c r="M63" s="7">
        <v>46062.0</v>
      </c>
      <c r="N63" s="6" t="s">
        <v>171</v>
      </c>
      <c r="O63" s="6" t="s">
        <v>27</v>
      </c>
      <c r="P63" s="6" t="s">
        <v>108</v>
      </c>
      <c r="Q63" s="6" t="s">
        <v>139</v>
      </c>
      <c r="R63" s="13">
        <v>50000.0</v>
      </c>
      <c r="S63" s="6"/>
    </row>
    <row r="64" ht="15.75" customHeight="1">
      <c r="A64" s="67"/>
      <c r="B64" s="8"/>
      <c r="C64" s="8"/>
      <c r="D64" s="6"/>
      <c r="E64" s="6"/>
      <c r="F64" s="6"/>
      <c r="G64" s="6"/>
      <c r="H64" s="8"/>
      <c r="I64" s="8"/>
      <c r="J64" s="8"/>
      <c r="K64" s="8"/>
      <c r="M64" s="7">
        <v>46038.0</v>
      </c>
      <c r="N64" s="6" t="s">
        <v>172</v>
      </c>
      <c r="O64" s="6" t="s">
        <v>15</v>
      </c>
      <c r="P64" s="6" t="s">
        <v>20</v>
      </c>
      <c r="Q64" s="6" t="s">
        <v>147</v>
      </c>
      <c r="R64" s="13" t="s">
        <v>173</v>
      </c>
      <c r="S64" s="6">
        <v>50000.0</v>
      </c>
    </row>
    <row r="65" ht="15.75" customHeight="1">
      <c r="A65" s="67"/>
      <c r="B65" s="8"/>
      <c r="C65" s="8"/>
      <c r="D65" s="6"/>
      <c r="E65" s="6"/>
      <c r="F65" s="6"/>
      <c r="G65" s="6"/>
      <c r="H65" s="8"/>
      <c r="I65" s="8"/>
      <c r="J65" s="8"/>
      <c r="K65" s="8"/>
      <c r="M65" s="7">
        <v>46048.0</v>
      </c>
      <c r="N65" s="6" t="s">
        <v>174</v>
      </c>
      <c r="O65" s="6" t="s">
        <v>15</v>
      </c>
      <c r="P65" s="6" t="s">
        <v>20</v>
      </c>
      <c r="Q65" s="6" t="s">
        <v>147</v>
      </c>
      <c r="R65" s="6"/>
      <c r="S65" s="6">
        <v>22000.0</v>
      </c>
    </row>
    <row r="66" ht="15.75" customHeight="1">
      <c r="A66" s="67"/>
      <c r="B66" s="8"/>
      <c r="C66" s="8"/>
      <c r="D66" s="6"/>
      <c r="E66" s="6"/>
      <c r="F66" s="6"/>
      <c r="G66" s="6"/>
      <c r="H66" s="8"/>
      <c r="I66" s="8"/>
      <c r="J66" s="8"/>
      <c r="K66" s="8"/>
      <c r="M66" s="7">
        <v>46052.0</v>
      </c>
      <c r="N66" s="6" t="s">
        <v>145</v>
      </c>
      <c r="O66" s="6" t="s">
        <v>15</v>
      </c>
      <c r="P66" s="6" t="s">
        <v>20</v>
      </c>
      <c r="Q66" s="6" t="s">
        <v>139</v>
      </c>
      <c r="R66" s="6"/>
      <c r="S66" s="6">
        <v>40000.0</v>
      </c>
    </row>
    <row r="67" ht="15.75" customHeight="1">
      <c r="A67" s="67"/>
      <c r="B67" s="8"/>
      <c r="C67" s="8"/>
      <c r="D67" s="6"/>
      <c r="E67" s="6"/>
      <c r="F67" s="6"/>
      <c r="G67" s="6"/>
      <c r="H67" s="8"/>
      <c r="I67" s="8"/>
      <c r="J67" s="8"/>
      <c r="K67" s="8"/>
      <c r="M67" s="7">
        <v>46058.0</v>
      </c>
      <c r="N67" s="6" t="s">
        <v>175</v>
      </c>
      <c r="O67" s="6" t="s">
        <v>15</v>
      </c>
      <c r="P67" s="6" t="s">
        <v>20</v>
      </c>
      <c r="Q67" s="6" t="s">
        <v>147</v>
      </c>
      <c r="R67" s="6"/>
      <c r="S67" s="6">
        <v>30000.0</v>
      </c>
    </row>
    <row r="68" ht="15.75" customHeight="1">
      <c r="A68" s="67"/>
      <c r="B68" s="8"/>
      <c r="C68" s="8"/>
      <c r="D68" s="6"/>
      <c r="E68" s="6"/>
      <c r="F68" s="6"/>
      <c r="G68" s="6"/>
      <c r="H68" s="8"/>
      <c r="I68" s="8"/>
      <c r="J68" s="8"/>
      <c r="K68" s="8"/>
      <c r="M68" s="7">
        <v>46063.0</v>
      </c>
      <c r="N68" s="6" t="s">
        <v>176</v>
      </c>
      <c r="O68" s="6" t="s">
        <v>15</v>
      </c>
      <c r="P68" s="6" t="s">
        <v>20</v>
      </c>
      <c r="Q68" s="6" t="s">
        <v>147</v>
      </c>
      <c r="R68" s="6"/>
      <c r="S68" s="6">
        <v>50000.0</v>
      </c>
    </row>
    <row r="69" ht="15.75" customHeight="1">
      <c r="A69" s="67"/>
      <c r="B69" s="8"/>
      <c r="C69" s="8"/>
      <c r="D69" s="6"/>
      <c r="E69" s="6"/>
      <c r="F69" s="6"/>
      <c r="G69" s="6"/>
      <c r="H69" s="8"/>
      <c r="I69" s="8"/>
      <c r="J69" s="8"/>
      <c r="K69" s="8"/>
      <c r="M69" s="7">
        <v>46064.0</v>
      </c>
      <c r="N69" s="6" t="s">
        <v>138</v>
      </c>
      <c r="O69" s="6" t="s">
        <v>27</v>
      </c>
      <c r="P69" s="6" t="s">
        <v>108</v>
      </c>
      <c r="Q69" s="6" t="s">
        <v>139</v>
      </c>
      <c r="R69" s="6">
        <v>10000.0</v>
      </c>
      <c r="S69" s="6"/>
    </row>
    <row r="70" ht="15.75" customHeight="1">
      <c r="A70" s="67"/>
      <c r="B70" s="8"/>
      <c r="C70" s="8"/>
      <c r="D70" s="6"/>
      <c r="E70" s="6"/>
      <c r="F70" s="6"/>
      <c r="G70" s="6"/>
      <c r="H70" s="8"/>
      <c r="I70" s="8"/>
      <c r="J70" s="8"/>
      <c r="K70" s="8"/>
      <c r="M70" s="7">
        <v>46065.0</v>
      </c>
      <c r="N70" s="6" t="s">
        <v>177</v>
      </c>
      <c r="O70" s="6" t="s">
        <v>15</v>
      </c>
      <c r="P70" s="6" t="s">
        <v>20</v>
      </c>
      <c r="Q70" s="6" t="s">
        <v>139</v>
      </c>
      <c r="R70" s="6"/>
      <c r="S70" s="6">
        <v>40000.0</v>
      </c>
    </row>
    <row r="71" ht="15.75" customHeight="1">
      <c r="A71" s="67"/>
      <c r="B71" s="8"/>
      <c r="C71" s="8"/>
      <c r="D71" s="6"/>
      <c r="E71" s="6"/>
      <c r="F71" s="6"/>
      <c r="G71" s="6"/>
      <c r="H71" s="8"/>
      <c r="I71" s="8"/>
      <c r="J71" s="8"/>
      <c r="K71" s="8"/>
      <c r="M71" s="7">
        <v>46065.0</v>
      </c>
      <c r="N71" s="6" t="s">
        <v>178</v>
      </c>
      <c r="O71" s="6" t="s">
        <v>27</v>
      </c>
      <c r="P71" s="6" t="s">
        <v>108</v>
      </c>
      <c r="Q71" s="6" t="s">
        <v>139</v>
      </c>
      <c r="R71" s="6">
        <v>10000.0</v>
      </c>
      <c r="S71" s="6"/>
    </row>
    <row r="72" ht="15.75" customHeight="1">
      <c r="A72" s="67"/>
      <c r="B72" s="8"/>
      <c r="C72" s="8"/>
      <c r="D72" s="6"/>
      <c r="E72" s="6"/>
      <c r="F72" s="6"/>
      <c r="G72" s="6"/>
      <c r="H72" s="8"/>
      <c r="I72" s="8"/>
      <c r="J72" s="8"/>
      <c r="K72" s="8"/>
      <c r="M72" s="7">
        <v>46066.0</v>
      </c>
      <c r="N72" s="6" t="s">
        <v>179</v>
      </c>
      <c r="O72" s="6" t="s">
        <v>27</v>
      </c>
      <c r="P72" s="6" t="s">
        <v>108</v>
      </c>
      <c r="Q72" s="6" t="s">
        <v>147</v>
      </c>
      <c r="R72" s="6">
        <v>1500.0</v>
      </c>
      <c r="S72" s="6"/>
      <c r="T72" s="23"/>
    </row>
    <row r="73" ht="15.75" customHeight="1">
      <c r="A73" s="67"/>
      <c r="B73" s="8"/>
      <c r="C73" s="8"/>
      <c r="D73" s="6"/>
      <c r="E73" s="6"/>
      <c r="F73" s="6"/>
      <c r="G73" s="6"/>
      <c r="H73" s="8"/>
      <c r="I73" s="8"/>
      <c r="J73" s="8"/>
      <c r="K73" s="8"/>
      <c r="M73" s="67">
        <v>46072.0</v>
      </c>
      <c r="N73" s="6" t="s">
        <v>180</v>
      </c>
      <c r="O73" s="6" t="s">
        <v>15</v>
      </c>
      <c r="P73" s="6" t="s">
        <v>20</v>
      </c>
      <c r="Q73" s="6" t="s">
        <v>96</v>
      </c>
      <c r="R73" s="6"/>
      <c r="S73" s="6">
        <v>400000.0</v>
      </c>
    </row>
    <row r="74" ht="15.75" customHeight="1">
      <c r="A74" s="67"/>
      <c r="B74" s="8"/>
      <c r="C74" s="8"/>
      <c r="D74" s="6"/>
      <c r="E74" s="6"/>
      <c r="F74" s="6"/>
      <c r="G74" s="6"/>
      <c r="H74" s="8"/>
      <c r="I74" s="8"/>
      <c r="J74" s="8"/>
      <c r="K74" s="8"/>
      <c r="M74" s="67">
        <v>46071.0</v>
      </c>
      <c r="N74" s="6" t="s">
        <v>138</v>
      </c>
      <c r="O74" s="6" t="s">
        <v>27</v>
      </c>
      <c r="P74" s="6" t="s">
        <v>108</v>
      </c>
      <c r="Q74" s="6" t="s">
        <v>139</v>
      </c>
      <c r="R74" s="6">
        <v>18000.0</v>
      </c>
      <c r="S74" s="6"/>
    </row>
    <row r="75" ht="15.75" customHeight="1">
      <c r="A75" s="67"/>
      <c r="B75" s="8"/>
      <c r="C75" s="8"/>
      <c r="D75" s="6"/>
      <c r="E75" s="6"/>
      <c r="F75" s="6"/>
      <c r="G75" s="6"/>
      <c r="H75" s="8"/>
      <c r="I75" s="8"/>
      <c r="J75" s="8"/>
      <c r="K75" s="8"/>
      <c r="M75" s="67"/>
      <c r="N75" s="6"/>
      <c r="O75" s="6"/>
      <c r="P75" s="6"/>
      <c r="Q75" s="6"/>
      <c r="R75" s="6"/>
      <c r="S75" s="6"/>
    </row>
    <row r="76" ht="15.75" customHeight="1">
      <c r="A76" s="67"/>
      <c r="B76" s="8"/>
      <c r="C76" s="8"/>
      <c r="D76" s="6"/>
      <c r="E76" s="6"/>
      <c r="F76" s="6"/>
      <c r="G76" s="6"/>
      <c r="H76" s="8"/>
      <c r="I76" s="8"/>
      <c r="J76" s="8"/>
      <c r="K76" s="8"/>
      <c r="M76" s="67"/>
      <c r="N76" s="6"/>
      <c r="O76" s="6"/>
      <c r="P76" s="6"/>
      <c r="Q76" s="6"/>
      <c r="R76" s="6"/>
      <c r="S76" s="6"/>
    </row>
    <row r="77" ht="15.75" customHeight="1">
      <c r="A77" s="67"/>
      <c r="B77" s="8"/>
      <c r="C77" s="8"/>
      <c r="D77" s="6"/>
      <c r="E77" s="6"/>
      <c r="F77" s="6"/>
      <c r="G77" s="6"/>
      <c r="H77" s="8"/>
      <c r="I77" s="8"/>
      <c r="J77" s="8"/>
      <c r="K77" s="8"/>
      <c r="M77" s="67"/>
      <c r="N77" s="6"/>
      <c r="O77" s="6"/>
      <c r="P77" s="6"/>
      <c r="Q77" s="6"/>
      <c r="R77" s="6"/>
      <c r="S77" s="6"/>
    </row>
    <row r="78" ht="15.75" customHeight="1">
      <c r="A78" s="67"/>
      <c r="B78" s="8"/>
      <c r="C78" s="8"/>
      <c r="D78" s="6"/>
      <c r="E78" s="6"/>
      <c r="F78" s="6"/>
      <c r="G78" s="6"/>
      <c r="H78" s="8"/>
      <c r="I78" s="8"/>
      <c r="J78" s="8"/>
      <c r="K78" s="8"/>
      <c r="M78" s="67"/>
      <c r="N78" s="6"/>
      <c r="O78" s="6"/>
      <c r="P78" s="6"/>
      <c r="Q78" s="6"/>
      <c r="R78" s="6"/>
      <c r="S78" s="6"/>
    </row>
    <row r="79" ht="15.75" customHeight="1">
      <c r="A79" s="67"/>
      <c r="B79" s="8"/>
      <c r="C79" s="8"/>
      <c r="D79" s="6"/>
      <c r="E79" s="6"/>
      <c r="F79" s="6"/>
      <c r="G79" s="6"/>
      <c r="H79" s="8"/>
      <c r="I79" s="8"/>
      <c r="J79" s="8"/>
      <c r="K79" s="8"/>
      <c r="M79" s="67"/>
      <c r="N79" s="6"/>
      <c r="O79" s="6"/>
      <c r="P79" s="6"/>
      <c r="Q79" s="6"/>
      <c r="R79" s="6"/>
      <c r="S79" s="6"/>
    </row>
    <row r="80" ht="15.75" customHeight="1">
      <c r="A80" s="67"/>
      <c r="B80" s="8"/>
      <c r="C80" s="8"/>
      <c r="D80" s="6"/>
      <c r="E80" s="6"/>
      <c r="F80" s="6"/>
      <c r="G80" s="6"/>
      <c r="H80" s="8"/>
      <c r="I80" s="8"/>
      <c r="J80" s="8"/>
      <c r="K80" s="8"/>
      <c r="M80" s="67"/>
      <c r="N80" s="6"/>
      <c r="O80" s="6"/>
      <c r="P80" s="6"/>
      <c r="Q80" s="6"/>
      <c r="R80" s="6"/>
      <c r="S80" s="6"/>
    </row>
    <row r="81" ht="15.75" customHeight="1">
      <c r="A81" s="67"/>
      <c r="B81" s="8"/>
      <c r="C81" s="8"/>
      <c r="D81" s="6"/>
      <c r="E81" s="6"/>
      <c r="F81" s="6"/>
      <c r="G81" s="6"/>
      <c r="H81" s="8"/>
      <c r="I81" s="8"/>
      <c r="J81" s="8"/>
      <c r="K81" s="8"/>
      <c r="M81" s="67"/>
      <c r="N81" s="6"/>
      <c r="O81" s="6"/>
      <c r="P81" s="6"/>
      <c r="Q81" s="6"/>
      <c r="R81" s="6"/>
      <c r="S81" s="6"/>
    </row>
    <row r="82" ht="15.75" customHeight="1">
      <c r="A82" s="67"/>
      <c r="B82" s="8"/>
      <c r="C82" s="8"/>
      <c r="D82" s="6"/>
      <c r="E82" s="6"/>
      <c r="F82" s="6"/>
      <c r="G82" s="6"/>
      <c r="H82" s="8"/>
      <c r="I82" s="8"/>
      <c r="J82" s="8"/>
      <c r="K82" s="8"/>
      <c r="M82" s="67"/>
      <c r="N82" s="6"/>
      <c r="O82" s="6"/>
      <c r="P82" s="6"/>
      <c r="Q82" s="6"/>
      <c r="R82" s="6"/>
      <c r="S82" s="6"/>
    </row>
    <row r="83" ht="15.75" customHeight="1">
      <c r="A83" s="67"/>
      <c r="B83" s="8"/>
      <c r="C83" s="8"/>
      <c r="D83" s="6"/>
      <c r="E83" s="6"/>
      <c r="F83" s="6"/>
      <c r="G83" s="6"/>
      <c r="H83" s="8"/>
      <c r="I83" s="8"/>
      <c r="J83" s="8"/>
      <c r="K83" s="8"/>
      <c r="M83" s="67"/>
      <c r="N83" s="6"/>
      <c r="O83" s="6"/>
      <c r="P83" s="6"/>
      <c r="Q83" s="6"/>
      <c r="R83" s="6"/>
      <c r="S83" s="6"/>
    </row>
    <row r="84" ht="15.75" customHeight="1">
      <c r="A84" s="67"/>
      <c r="B84" s="8"/>
      <c r="C84" s="8"/>
      <c r="D84" s="6"/>
      <c r="E84" s="6"/>
      <c r="F84" s="6"/>
      <c r="G84" s="6"/>
      <c r="H84" s="8"/>
      <c r="I84" s="8"/>
      <c r="J84" s="8"/>
      <c r="K84" s="8"/>
      <c r="M84" s="67"/>
      <c r="N84" s="6"/>
      <c r="O84" s="6"/>
      <c r="P84" s="6"/>
      <c r="Q84" s="6"/>
      <c r="R84" s="6"/>
      <c r="S84" s="6"/>
    </row>
    <row r="85" ht="15.75" customHeight="1">
      <c r="A85" s="67"/>
      <c r="B85" s="8"/>
      <c r="C85" s="8"/>
      <c r="D85" s="6"/>
      <c r="E85" s="6"/>
      <c r="F85" s="6"/>
      <c r="G85" s="6"/>
      <c r="H85" s="8"/>
      <c r="I85" s="8"/>
      <c r="J85" s="8"/>
      <c r="K85" s="8"/>
      <c r="M85" s="67"/>
      <c r="N85" s="6"/>
      <c r="O85" s="6"/>
      <c r="P85" s="6"/>
      <c r="Q85" s="6"/>
      <c r="R85" s="6"/>
      <c r="S85" s="6"/>
    </row>
    <row r="86" ht="15.75" customHeight="1">
      <c r="A86" s="67"/>
      <c r="B86" s="8"/>
      <c r="C86" s="8"/>
      <c r="D86" s="6"/>
      <c r="E86" s="6"/>
      <c r="F86" s="6"/>
      <c r="G86" s="6"/>
      <c r="H86" s="8"/>
      <c r="I86" s="8"/>
      <c r="J86" s="8"/>
      <c r="K86" s="8"/>
      <c r="M86" s="67"/>
      <c r="N86" s="6"/>
      <c r="O86" s="6"/>
      <c r="P86" s="6"/>
      <c r="Q86" s="6"/>
      <c r="R86" s="6"/>
      <c r="S86" s="6"/>
    </row>
    <row r="87" ht="15.75" customHeight="1">
      <c r="A87" s="67"/>
      <c r="B87" s="8"/>
      <c r="C87" s="8"/>
      <c r="D87" s="6"/>
      <c r="E87" s="6"/>
      <c r="F87" s="6"/>
      <c r="G87" s="6"/>
      <c r="H87" s="8"/>
      <c r="I87" s="8"/>
      <c r="J87" s="8"/>
      <c r="K87" s="8"/>
      <c r="M87" s="67"/>
      <c r="N87" s="6"/>
      <c r="O87" s="6"/>
      <c r="P87" s="6"/>
      <c r="Q87" s="6"/>
      <c r="R87" s="6"/>
      <c r="S87" s="6"/>
    </row>
    <row r="88" ht="15.75" customHeight="1">
      <c r="A88" s="67"/>
      <c r="B88" s="8"/>
      <c r="C88" s="8"/>
      <c r="D88" s="6"/>
      <c r="E88" s="6"/>
      <c r="F88" s="6"/>
      <c r="G88" s="6"/>
      <c r="H88" s="8"/>
      <c r="I88" s="8"/>
      <c r="J88" s="8"/>
      <c r="K88" s="8"/>
      <c r="M88" s="67"/>
      <c r="N88" s="6"/>
      <c r="O88" s="6"/>
      <c r="P88" s="6"/>
      <c r="Q88" s="6"/>
      <c r="R88" s="6"/>
      <c r="S88" s="6"/>
    </row>
    <row r="89" ht="15.75" customHeight="1">
      <c r="A89" s="67"/>
      <c r="B89" s="8"/>
      <c r="C89" s="8"/>
      <c r="D89" s="6"/>
      <c r="E89" s="6"/>
      <c r="F89" s="6"/>
      <c r="G89" s="6"/>
      <c r="H89" s="8"/>
      <c r="I89" s="8"/>
      <c r="J89" s="8"/>
      <c r="K89" s="8"/>
      <c r="M89" s="67"/>
      <c r="N89" s="6"/>
      <c r="O89" s="6"/>
      <c r="P89" s="6"/>
      <c r="Q89" s="6"/>
      <c r="R89" s="6"/>
      <c r="S89" s="6"/>
    </row>
    <row r="90" ht="15.75" customHeight="1">
      <c r="A90" s="67"/>
      <c r="B90" s="8"/>
      <c r="C90" s="8"/>
      <c r="D90" s="6"/>
      <c r="E90" s="6"/>
      <c r="F90" s="6"/>
      <c r="G90" s="6"/>
      <c r="H90" s="8"/>
      <c r="I90" s="8"/>
      <c r="J90" s="8"/>
      <c r="K90" s="8"/>
      <c r="M90" s="67"/>
      <c r="N90" s="6"/>
      <c r="O90" s="6"/>
      <c r="P90" s="6"/>
      <c r="Q90" s="6"/>
      <c r="R90" s="6"/>
      <c r="S90" s="6"/>
    </row>
    <row r="91" ht="15.75" customHeight="1">
      <c r="A91" s="67"/>
      <c r="B91" s="8"/>
      <c r="C91" s="8"/>
      <c r="D91" s="6"/>
      <c r="E91" s="6"/>
      <c r="F91" s="6"/>
      <c r="G91" s="6"/>
      <c r="H91" s="8"/>
      <c r="I91" s="8"/>
      <c r="J91" s="8"/>
      <c r="K91" s="8"/>
      <c r="M91" s="67"/>
      <c r="N91" s="6"/>
      <c r="O91" s="6"/>
      <c r="P91" s="6"/>
      <c r="Q91" s="6"/>
      <c r="R91" s="6"/>
      <c r="S91" s="6"/>
    </row>
    <row r="92" ht="15.75" customHeight="1">
      <c r="A92" s="67"/>
      <c r="B92" s="6"/>
      <c r="C92" s="6"/>
      <c r="D92" s="6"/>
      <c r="E92" s="6"/>
      <c r="F92" s="6"/>
      <c r="G92" s="6"/>
      <c r="H92" s="6"/>
      <c r="I92" s="6"/>
      <c r="J92" s="6"/>
      <c r="K92" s="6"/>
      <c r="M92" s="67"/>
      <c r="N92" s="6"/>
      <c r="O92" s="6"/>
      <c r="P92" s="6"/>
      <c r="Q92" s="6"/>
      <c r="R92" s="6"/>
      <c r="S92" s="6"/>
    </row>
    <row r="93" ht="15.75" customHeight="1">
      <c r="A93" s="67"/>
      <c r="B93" s="6"/>
      <c r="C93" s="6"/>
      <c r="D93" s="6"/>
      <c r="E93" s="6"/>
      <c r="F93" s="6"/>
      <c r="G93" s="6"/>
      <c r="H93" s="6"/>
      <c r="I93" s="6"/>
      <c r="J93" s="6"/>
      <c r="K93" s="6"/>
      <c r="M93" s="67"/>
      <c r="N93" s="6"/>
      <c r="O93" s="6"/>
      <c r="P93" s="6"/>
      <c r="Q93" s="6"/>
      <c r="R93" s="6"/>
      <c r="S93" s="6"/>
    </row>
    <row r="94" ht="15.75" customHeight="1">
      <c r="A94" s="67"/>
      <c r="B94" s="6"/>
      <c r="C94" s="6"/>
      <c r="D94" s="6"/>
      <c r="E94" s="6"/>
      <c r="F94" s="6"/>
      <c r="G94" s="6"/>
      <c r="H94" s="6"/>
      <c r="I94" s="6"/>
      <c r="J94" s="6"/>
      <c r="K94" s="6"/>
      <c r="M94" s="67"/>
      <c r="N94" s="6"/>
      <c r="O94" s="6"/>
      <c r="P94" s="6"/>
      <c r="Q94" s="6"/>
      <c r="R94" s="6"/>
      <c r="S94" s="6"/>
    </row>
    <row r="95" ht="15.75" customHeight="1">
      <c r="A95" s="67"/>
      <c r="B95" s="6"/>
      <c r="C95" s="6"/>
      <c r="D95" s="6"/>
      <c r="E95" s="6"/>
      <c r="F95" s="6"/>
      <c r="G95" s="6"/>
      <c r="H95" s="6"/>
      <c r="I95" s="6"/>
      <c r="J95" s="6"/>
      <c r="K95" s="6"/>
      <c r="M95" s="67"/>
      <c r="N95" s="6"/>
      <c r="O95" s="6"/>
      <c r="P95" s="6"/>
      <c r="Q95" s="6"/>
      <c r="R95" s="6"/>
      <c r="S95" s="6"/>
    </row>
    <row r="96" ht="15.75" customHeight="1">
      <c r="A96" s="67"/>
      <c r="B96" s="6"/>
      <c r="C96" s="6"/>
      <c r="D96" s="6"/>
      <c r="E96" s="6"/>
      <c r="F96" s="6"/>
      <c r="G96" s="6"/>
      <c r="H96" s="6"/>
      <c r="I96" s="6"/>
      <c r="J96" s="6"/>
      <c r="K96" s="6"/>
      <c r="M96" s="67"/>
      <c r="N96" s="6"/>
      <c r="O96" s="6"/>
      <c r="P96" s="6"/>
      <c r="Q96" s="6"/>
      <c r="R96" s="6"/>
      <c r="S96" s="6"/>
    </row>
    <row r="97" ht="15.75" customHeight="1">
      <c r="A97" s="67"/>
      <c r="B97" s="6"/>
      <c r="C97" s="6"/>
      <c r="D97" s="6"/>
      <c r="E97" s="6"/>
      <c r="F97" s="6"/>
      <c r="G97" s="6"/>
      <c r="H97" s="6"/>
      <c r="I97" s="6"/>
      <c r="J97" s="6"/>
      <c r="K97" s="6"/>
      <c r="M97" s="67"/>
      <c r="N97" s="6"/>
      <c r="O97" s="6"/>
      <c r="P97" s="6"/>
      <c r="Q97" s="6"/>
      <c r="R97" s="6"/>
      <c r="S97" s="6"/>
    </row>
    <row r="98" ht="15.75" customHeight="1">
      <c r="A98" s="67"/>
      <c r="B98" s="6"/>
      <c r="C98" s="6"/>
      <c r="D98" s="6"/>
      <c r="E98" s="6"/>
      <c r="F98" s="6"/>
      <c r="G98" s="6"/>
      <c r="H98" s="6"/>
      <c r="I98" s="6"/>
      <c r="J98" s="6"/>
      <c r="K98" s="6"/>
      <c r="M98" s="67"/>
      <c r="N98" s="6"/>
      <c r="O98" s="6"/>
      <c r="P98" s="6"/>
      <c r="Q98" s="6"/>
      <c r="R98" s="6"/>
      <c r="S98" s="6"/>
    </row>
    <row r="99" ht="15.75" customHeight="1">
      <c r="A99" s="67"/>
      <c r="B99" s="6"/>
      <c r="C99" s="6"/>
      <c r="D99" s="6"/>
      <c r="E99" s="6"/>
      <c r="F99" s="6"/>
      <c r="G99" s="6"/>
      <c r="H99" s="6"/>
      <c r="I99" s="6"/>
      <c r="J99" s="6"/>
      <c r="K99" s="6"/>
      <c r="M99" s="67"/>
      <c r="N99" s="6"/>
      <c r="O99" s="6"/>
      <c r="P99" s="6"/>
      <c r="Q99" s="6"/>
      <c r="R99" s="6"/>
      <c r="S99" s="6"/>
    </row>
    <row r="100" ht="15.75" customHeight="1">
      <c r="A100" s="67"/>
      <c r="B100" s="6"/>
      <c r="C100" s="6"/>
      <c r="D100" s="6"/>
      <c r="E100" s="6"/>
      <c r="F100" s="6"/>
      <c r="G100" s="6"/>
      <c r="H100" s="6"/>
      <c r="I100" s="6"/>
      <c r="J100" s="6"/>
      <c r="K100" s="6"/>
      <c r="M100" s="67"/>
      <c r="N100" s="6"/>
      <c r="O100" s="6"/>
      <c r="P100" s="6"/>
      <c r="Q100" s="6"/>
      <c r="R100" s="6"/>
      <c r="S100" s="6"/>
    </row>
    <row r="101" ht="15.75" customHeight="1">
      <c r="A101" s="67"/>
      <c r="B101" s="6"/>
      <c r="C101" s="6"/>
      <c r="D101" s="6"/>
      <c r="E101" s="6"/>
      <c r="F101" s="6"/>
      <c r="G101" s="6"/>
      <c r="H101" s="6"/>
      <c r="I101" s="6"/>
      <c r="J101" s="6"/>
      <c r="K101" s="6"/>
      <c r="M101" s="67"/>
      <c r="N101" s="6"/>
      <c r="O101" s="6"/>
      <c r="P101" s="6"/>
      <c r="Q101" s="6"/>
      <c r="R101" s="6"/>
      <c r="S101" s="6"/>
    </row>
    <row r="102" ht="15.75" customHeight="1">
      <c r="A102" s="67"/>
      <c r="B102" s="6"/>
      <c r="C102" s="6"/>
      <c r="D102" s="6"/>
      <c r="E102" s="6"/>
      <c r="F102" s="6"/>
      <c r="G102" s="6"/>
      <c r="H102" s="6"/>
      <c r="I102" s="6"/>
      <c r="J102" s="6"/>
      <c r="K102" s="6"/>
      <c r="M102" s="67"/>
      <c r="N102" s="6"/>
      <c r="O102" s="6"/>
      <c r="P102" s="6"/>
      <c r="Q102" s="6"/>
      <c r="R102" s="6"/>
      <c r="S102" s="6"/>
    </row>
    <row r="103" ht="15.75" customHeight="1">
      <c r="A103" s="67"/>
      <c r="B103" s="6"/>
      <c r="C103" s="6"/>
      <c r="D103" s="6"/>
      <c r="E103" s="6"/>
      <c r="F103" s="6"/>
      <c r="G103" s="6"/>
      <c r="H103" s="6"/>
      <c r="I103" s="6"/>
      <c r="J103" s="6"/>
      <c r="K103" s="6"/>
      <c r="M103" s="67"/>
      <c r="N103" s="6"/>
      <c r="O103" s="6"/>
      <c r="P103" s="6"/>
      <c r="Q103" s="6"/>
      <c r="R103" s="6"/>
      <c r="S103" s="6"/>
    </row>
    <row r="104" ht="15.75" customHeight="1">
      <c r="A104" s="67"/>
      <c r="B104" s="6"/>
      <c r="C104" s="6"/>
      <c r="D104" s="6"/>
      <c r="E104" s="6"/>
      <c r="F104" s="6"/>
      <c r="G104" s="6"/>
      <c r="H104" s="6"/>
      <c r="I104" s="6"/>
      <c r="J104" s="6"/>
      <c r="K104" s="6"/>
      <c r="M104" s="67"/>
      <c r="N104" s="6"/>
      <c r="O104" s="6"/>
      <c r="P104" s="6"/>
      <c r="Q104" s="6"/>
      <c r="R104" s="6"/>
      <c r="S104" s="6"/>
    </row>
    <row r="105" ht="15.75" customHeight="1">
      <c r="A105" s="67"/>
      <c r="B105" s="6"/>
      <c r="C105" s="6"/>
      <c r="D105" s="6"/>
      <c r="E105" s="6"/>
      <c r="F105" s="6"/>
      <c r="G105" s="6"/>
      <c r="H105" s="6"/>
      <c r="I105" s="6"/>
      <c r="J105" s="6"/>
      <c r="K105" s="6"/>
      <c r="M105" s="67"/>
      <c r="N105" s="6"/>
      <c r="O105" s="6"/>
      <c r="P105" s="6"/>
      <c r="Q105" s="6"/>
      <c r="R105" s="6"/>
      <c r="S105" s="6"/>
    </row>
    <row r="106" ht="15.75" customHeight="1">
      <c r="A106" s="67"/>
      <c r="B106" s="6"/>
      <c r="C106" s="6"/>
      <c r="D106" s="6"/>
      <c r="E106" s="6"/>
      <c r="F106" s="6"/>
      <c r="G106" s="6"/>
      <c r="H106" s="6"/>
      <c r="I106" s="6"/>
      <c r="J106" s="6"/>
      <c r="K106" s="6"/>
      <c r="M106" s="67"/>
      <c r="N106" s="6"/>
      <c r="O106" s="6"/>
      <c r="P106" s="6"/>
      <c r="Q106" s="6"/>
      <c r="R106" s="6"/>
      <c r="S106" s="6"/>
    </row>
    <row r="107" ht="15.75" customHeight="1">
      <c r="A107" s="67"/>
      <c r="B107" s="6"/>
      <c r="C107" s="6"/>
      <c r="D107" s="6"/>
      <c r="E107" s="6"/>
      <c r="F107" s="6"/>
      <c r="G107" s="6"/>
      <c r="H107" s="6"/>
      <c r="I107" s="6"/>
      <c r="J107" s="6"/>
      <c r="K107" s="6"/>
      <c r="M107" s="67"/>
      <c r="N107" s="6"/>
      <c r="O107" s="6"/>
      <c r="P107" s="6"/>
      <c r="Q107" s="6"/>
      <c r="R107" s="6"/>
      <c r="S107" s="6"/>
    </row>
    <row r="108" ht="15.75" customHeight="1">
      <c r="A108" s="67"/>
      <c r="B108" s="6"/>
      <c r="C108" s="6"/>
      <c r="D108" s="6"/>
      <c r="E108" s="6"/>
      <c r="F108" s="6"/>
      <c r="G108" s="6"/>
      <c r="H108" s="6"/>
      <c r="I108" s="6"/>
      <c r="J108" s="6"/>
      <c r="K108" s="6"/>
      <c r="M108" s="67"/>
      <c r="N108" s="6"/>
      <c r="O108" s="6"/>
      <c r="P108" s="6"/>
      <c r="Q108" s="6"/>
      <c r="R108" s="6"/>
      <c r="S108" s="6"/>
    </row>
    <row r="109" ht="15.75" customHeight="1">
      <c r="A109" s="67"/>
      <c r="B109" s="6"/>
      <c r="C109" s="6"/>
      <c r="D109" s="6"/>
      <c r="E109" s="6"/>
      <c r="F109" s="6"/>
      <c r="G109" s="6"/>
      <c r="H109" s="6"/>
      <c r="I109" s="6"/>
      <c r="J109" s="6"/>
      <c r="K109" s="6"/>
      <c r="M109" s="67"/>
      <c r="N109" s="6"/>
      <c r="O109" s="6"/>
      <c r="P109" s="6"/>
      <c r="Q109" s="6"/>
      <c r="R109" s="6"/>
      <c r="S109" s="6"/>
    </row>
    <row r="110" ht="15.75" customHeight="1">
      <c r="A110" s="67"/>
      <c r="B110" s="6"/>
      <c r="C110" s="6"/>
      <c r="D110" s="6"/>
      <c r="E110" s="6"/>
      <c r="F110" s="6"/>
      <c r="G110" s="6"/>
      <c r="H110" s="6"/>
      <c r="I110" s="6"/>
      <c r="J110" s="6"/>
      <c r="K110" s="6"/>
      <c r="M110" s="67"/>
      <c r="N110" s="6"/>
      <c r="O110" s="6"/>
      <c r="P110" s="6"/>
      <c r="Q110" s="6"/>
      <c r="R110" s="6"/>
      <c r="S110" s="6"/>
    </row>
    <row r="111" ht="15.75" customHeight="1">
      <c r="A111" s="67"/>
      <c r="B111" s="6"/>
      <c r="C111" s="6"/>
      <c r="D111" s="6"/>
      <c r="E111" s="6"/>
      <c r="F111" s="6"/>
      <c r="G111" s="6"/>
      <c r="H111" s="6"/>
      <c r="I111" s="6"/>
      <c r="J111" s="6"/>
      <c r="K111" s="6"/>
      <c r="M111" s="67"/>
      <c r="N111" s="6"/>
      <c r="O111" s="6"/>
      <c r="P111" s="6"/>
      <c r="Q111" s="6"/>
      <c r="R111" s="6"/>
      <c r="S111" s="6"/>
    </row>
    <row r="112" ht="15.75" customHeight="1">
      <c r="A112" s="67"/>
      <c r="B112" s="6"/>
      <c r="C112" s="6"/>
      <c r="D112" s="6"/>
      <c r="E112" s="6"/>
      <c r="F112" s="6"/>
      <c r="G112" s="6"/>
      <c r="H112" s="6"/>
      <c r="I112" s="6"/>
      <c r="J112" s="6"/>
      <c r="K112" s="6"/>
      <c r="M112" s="67"/>
      <c r="N112" s="6"/>
      <c r="O112" s="6"/>
      <c r="P112" s="6"/>
      <c r="Q112" s="6"/>
      <c r="R112" s="6"/>
      <c r="S112" s="6"/>
    </row>
    <row r="113" ht="15.75" customHeight="1">
      <c r="A113" s="67"/>
      <c r="B113" s="6"/>
      <c r="C113" s="6"/>
      <c r="D113" s="6"/>
      <c r="E113" s="6"/>
      <c r="F113" s="6"/>
      <c r="G113" s="6"/>
      <c r="H113" s="6"/>
      <c r="I113" s="6"/>
      <c r="J113" s="6"/>
      <c r="K113" s="6"/>
      <c r="M113" s="67"/>
      <c r="N113" s="6"/>
      <c r="O113" s="6"/>
      <c r="P113" s="6"/>
      <c r="Q113" s="6"/>
      <c r="R113" s="6"/>
      <c r="S113" s="6"/>
    </row>
    <row r="114" ht="15.75" customHeight="1">
      <c r="A114" s="67"/>
      <c r="B114" s="6"/>
      <c r="C114" s="6"/>
      <c r="D114" s="6"/>
      <c r="E114" s="6"/>
      <c r="F114" s="6"/>
      <c r="G114" s="6"/>
      <c r="H114" s="6"/>
      <c r="I114" s="6"/>
      <c r="J114" s="6"/>
      <c r="K114" s="6"/>
      <c r="M114" s="67"/>
      <c r="N114" s="6"/>
      <c r="O114" s="6"/>
      <c r="P114" s="6"/>
      <c r="Q114" s="6"/>
      <c r="R114" s="6"/>
      <c r="S114" s="6"/>
    </row>
    <row r="115" ht="15.75" customHeight="1">
      <c r="A115" s="67"/>
      <c r="B115" s="6"/>
      <c r="C115" s="6"/>
      <c r="D115" s="6"/>
      <c r="E115" s="6"/>
      <c r="F115" s="6"/>
      <c r="G115" s="6"/>
      <c r="H115" s="6"/>
      <c r="I115" s="6"/>
      <c r="J115" s="6"/>
      <c r="K115" s="6"/>
      <c r="M115" s="67"/>
      <c r="N115" s="6"/>
      <c r="O115" s="6"/>
      <c r="P115" s="6"/>
      <c r="Q115" s="6"/>
      <c r="R115" s="6"/>
      <c r="S115" s="6"/>
    </row>
    <row r="116" ht="15.75" customHeight="1">
      <c r="A116" s="67"/>
      <c r="B116" s="6"/>
      <c r="C116" s="6"/>
      <c r="D116" s="6"/>
      <c r="E116" s="6"/>
      <c r="F116" s="6"/>
      <c r="G116" s="6"/>
      <c r="H116" s="6"/>
      <c r="I116" s="6"/>
      <c r="J116" s="6"/>
      <c r="K116" s="6"/>
      <c r="M116" s="67"/>
      <c r="N116" s="6"/>
      <c r="O116" s="6"/>
      <c r="P116" s="6"/>
      <c r="Q116" s="6"/>
      <c r="R116" s="6"/>
      <c r="S116" s="6"/>
    </row>
    <row r="117" ht="15.75" customHeight="1">
      <c r="A117" s="67"/>
      <c r="B117" s="6"/>
      <c r="C117" s="6"/>
      <c r="D117" s="6"/>
      <c r="E117" s="6"/>
      <c r="F117" s="6"/>
      <c r="G117" s="6"/>
      <c r="H117" s="6"/>
      <c r="I117" s="6"/>
      <c r="J117" s="6"/>
      <c r="K117" s="6"/>
      <c r="M117" s="67"/>
      <c r="N117" s="6"/>
      <c r="O117" s="6"/>
      <c r="P117" s="6"/>
      <c r="Q117" s="6"/>
      <c r="R117" s="6"/>
      <c r="S117" s="6"/>
    </row>
    <row r="118" ht="15.75" customHeight="1">
      <c r="A118" s="67"/>
      <c r="B118" s="6"/>
      <c r="C118" s="6"/>
      <c r="D118" s="6"/>
      <c r="E118" s="6"/>
      <c r="F118" s="6"/>
      <c r="G118" s="6"/>
      <c r="H118" s="6"/>
      <c r="I118" s="6"/>
      <c r="J118" s="6"/>
      <c r="K118" s="6"/>
      <c r="M118" s="67"/>
      <c r="N118" s="6"/>
      <c r="O118" s="6"/>
      <c r="P118" s="6"/>
      <c r="Q118" s="6"/>
      <c r="R118" s="6"/>
      <c r="S118" s="6"/>
    </row>
    <row r="119" ht="15.75" customHeight="1">
      <c r="A119" s="67"/>
      <c r="B119" s="6"/>
      <c r="C119" s="6"/>
      <c r="D119" s="6"/>
      <c r="E119" s="6"/>
      <c r="F119" s="6"/>
      <c r="G119" s="6"/>
      <c r="H119" s="6"/>
      <c r="I119" s="6"/>
      <c r="J119" s="6"/>
      <c r="K119" s="6"/>
      <c r="M119" s="67"/>
      <c r="N119" s="6"/>
      <c r="O119" s="6"/>
      <c r="P119" s="6"/>
      <c r="Q119" s="6"/>
      <c r="R119" s="6"/>
      <c r="S119" s="6"/>
    </row>
    <row r="120" ht="15.75" customHeight="1">
      <c r="A120" s="67"/>
      <c r="B120" s="6"/>
      <c r="C120" s="6"/>
      <c r="D120" s="6"/>
      <c r="E120" s="6"/>
      <c r="F120" s="6"/>
      <c r="G120" s="6"/>
      <c r="H120" s="6"/>
      <c r="I120" s="6"/>
      <c r="J120" s="6"/>
      <c r="K120" s="6"/>
      <c r="M120" s="67"/>
      <c r="N120" s="6"/>
      <c r="O120" s="6"/>
      <c r="P120" s="6"/>
      <c r="Q120" s="6"/>
      <c r="R120" s="6"/>
      <c r="S120" s="6"/>
    </row>
    <row r="121" ht="15.75" customHeight="1">
      <c r="A121" s="67"/>
      <c r="B121" s="6"/>
      <c r="C121" s="6"/>
      <c r="D121" s="6"/>
      <c r="E121" s="6"/>
      <c r="F121" s="6"/>
      <c r="G121" s="6"/>
      <c r="H121" s="6"/>
      <c r="I121" s="6"/>
      <c r="J121" s="6"/>
      <c r="K121" s="6"/>
      <c r="M121" s="67"/>
      <c r="N121" s="6"/>
      <c r="O121" s="6"/>
      <c r="P121" s="6"/>
      <c r="Q121" s="6"/>
      <c r="R121" s="6"/>
      <c r="S121" s="6"/>
    </row>
    <row r="122" ht="15.75" customHeight="1">
      <c r="A122" s="67"/>
      <c r="B122" s="6"/>
      <c r="C122" s="6"/>
      <c r="D122" s="6"/>
      <c r="E122" s="6"/>
      <c r="F122" s="6"/>
      <c r="G122" s="6"/>
      <c r="H122" s="6"/>
      <c r="I122" s="6"/>
      <c r="J122" s="6"/>
      <c r="K122" s="6"/>
      <c r="M122" s="67"/>
      <c r="N122" s="6"/>
      <c r="O122" s="6"/>
      <c r="P122" s="6"/>
      <c r="Q122" s="6"/>
      <c r="R122" s="6"/>
      <c r="S122" s="6"/>
    </row>
    <row r="123" ht="15.75" customHeight="1">
      <c r="A123" s="67"/>
      <c r="B123" s="6"/>
      <c r="C123" s="6"/>
      <c r="D123" s="6"/>
      <c r="E123" s="6"/>
      <c r="F123" s="6"/>
      <c r="G123" s="6"/>
      <c r="H123" s="6"/>
      <c r="I123" s="6"/>
      <c r="J123" s="6"/>
      <c r="K123" s="6"/>
      <c r="M123" s="67"/>
      <c r="N123" s="6"/>
      <c r="O123" s="6"/>
      <c r="P123" s="6"/>
      <c r="Q123" s="6"/>
      <c r="R123" s="6"/>
      <c r="S123" s="6"/>
    </row>
    <row r="124" ht="15.75" customHeight="1">
      <c r="A124" s="67"/>
      <c r="B124" s="6"/>
      <c r="C124" s="6"/>
      <c r="D124" s="6"/>
      <c r="E124" s="6"/>
      <c r="F124" s="6"/>
      <c r="G124" s="6"/>
      <c r="H124" s="6"/>
      <c r="I124" s="6"/>
      <c r="J124" s="6"/>
      <c r="K124" s="6"/>
      <c r="M124" s="67"/>
      <c r="N124" s="6"/>
      <c r="O124" s="6"/>
      <c r="P124" s="6"/>
      <c r="Q124" s="6"/>
      <c r="R124" s="6"/>
      <c r="S124" s="6"/>
    </row>
    <row r="125" ht="15.75" customHeight="1">
      <c r="A125" s="67"/>
      <c r="B125" s="6"/>
      <c r="C125" s="6"/>
      <c r="D125" s="6"/>
      <c r="E125" s="6"/>
      <c r="F125" s="6"/>
      <c r="G125" s="6"/>
      <c r="H125" s="6"/>
      <c r="I125" s="6"/>
      <c r="J125" s="6"/>
      <c r="K125" s="6"/>
      <c r="M125" s="67"/>
      <c r="N125" s="6"/>
      <c r="O125" s="6"/>
      <c r="P125" s="6"/>
      <c r="Q125" s="6"/>
      <c r="R125" s="6"/>
      <c r="S125" s="6"/>
    </row>
    <row r="126" ht="15.75" customHeight="1">
      <c r="A126" s="67"/>
      <c r="B126" s="6"/>
      <c r="C126" s="6"/>
      <c r="D126" s="6"/>
      <c r="E126" s="6"/>
      <c r="F126" s="6"/>
      <c r="G126" s="6"/>
      <c r="H126" s="6"/>
      <c r="I126" s="6"/>
      <c r="J126" s="6"/>
      <c r="K126" s="6"/>
      <c r="M126" s="67"/>
      <c r="N126" s="6"/>
      <c r="O126" s="6"/>
      <c r="P126" s="6"/>
      <c r="Q126" s="6"/>
      <c r="R126" s="6"/>
      <c r="S126" s="6"/>
    </row>
    <row r="127" ht="15.75" customHeight="1">
      <c r="A127" s="67"/>
      <c r="B127" s="6"/>
      <c r="C127" s="6"/>
      <c r="D127" s="6"/>
      <c r="E127" s="6"/>
      <c r="F127" s="6"/>
      <c r="G127" s="6"/>
      <c r="H127" s="6"/>
      <c r="I127" s="6"/>
      <c r="J127" s="6"/>
      <c r="K127" s="6"/>
      <c r="M127" s="67"/>
      <c r="N127" s="6"/>
      <c r="O127" s="6"/>
      <c r="P127" s="6"/>
      <c r="Q127" s="6"/>
      <c r="R127" s="6"/>
      <c r="S127" s="6"/>
    </row>
    <row r="128" ht="15.75" customHeight="1">
      <c r="A128" s="67"/>
      <c r="B128" s="6"/>
      <c r="C128" s="6"/>
      <c r="D128" s="6"/>
      <c r="E128" s="6"/>
      <c r="F128" s="6"/>
      <c r="G128" s="6"/>
      <c r="H128" s="6"/>
      <c r="I128" s="6"/>
      <c r="J128" s="6"/>
      <c r="K128" s="6"/>
      <c r="M128" s="67"/>
      <c r="N128" s="6"/>
      <c r="O128" s="6"/>
      <c r="P128" s="6"/>
      <c r="Q128" s="6"/>
      <c r="R128" s="6"/>
      <c r="S128" s="6"/>
    </row>
    <row r="129" ht="15.75" customHeight="1">
      <c r="A129" s="67"/>
      <c r="B129" s="6"/>
      <c r="C129" s="6"/>
      <c r="D129" s="6"/>
      <c r="E129" s="6"/>
      <c r="F129" s="6"/>
      <c r="G129" s="6"/>
      <c r="H129" s="6"/>
      <c r="I129" s="6"/>
      <c r="J129" s="6"/>
      <c r="K129" s="6"/>
      <c r="M129" s="67"/>
      <c r="N129" s="6"/>
      <c r="O129" s="6"/>
      <c r="P129" s="6"/>
      <c r="Q129" s="6"/>
      <c r="R129" s="6"/>
      <c r="S129" s="6"/>
    </row>
    <row r="130" ht="15.75" customHeight="1">
      <c r="A130" s="67"/>
      <c r="B130" s="6"/>
      <c r="C130" s="6"/>
      <c r="D130" s="6"/>
      <c r="E130" s="6"/>
      <c r="F130" s="6"/>
      <c r="G130" s="6"/>
      <c r="H130" s="6"/>
      <c r="I130" s="6"/>
      <c r="J130" s="6"/>
      <c r="K130" s="6"/>
      <c r="M130" s="67"/>
      <c r="N130" s="6"/>
      <c r="O130" s="6"/>
      <c r="P130" s="6"/>
      <c r="Q130" s="6"/>
      <c r="R130" s="6"/>
      <c r="S130" s="6"/>
    </row>
    <row r="131" ht="15.75" customHeight="1">
      <c r="A131" s="67"/>
      <c r="B131" s="6"/>
      <c r="C131" s="6"/>
      <c r="D131" s="6"/>
      <c r="E131" s="6"/>
      <c r="F131" s="6"/>
      <c r="G131" s="6"/>
      <c r="H131" s="6"/>
      <c r="I131" s="6"/>
      <c r="J131" s="6"/>
      <c r="K131" s="6"/>
      <c r="M131" s="67"/>
      <c r="N131" s="6"/>
      <c r="O131" s="6"/>
      <c r="P131" s="6"/>
      <c r="Q131" s="6"/>
      <c r="R131" s="6"/>
      <c r="S131" s="6"/>
    </row>
    <row r="132" ht="15.75" customHeight="1">
      <c r="A132" s="67"/>
      <c r="B132" s="6"/>
      <c r="C132" s="6"/>
      <c r="D132" s="6"/>
      <c r="E132" s="6"/>
      <c r="F132" s="6"/>
      <c r="G132" s="6"/>
      <c r="H132" s="6"/>
      <c r="I132" s="6"/>
      <c r="J132" s="6"/>
      <c r="K132" s="6"/>
      <c r="M132" s="67"/>
      <c r="N132" s="6"/>
      <c r="O132" s="6"/>
      <c r="P132" s="6"/>
      <c r="Q132" s="6"/>
      <c r="R132" s="6"/>
      <c r="S132" s="6"/>
    </row>
    <row r="133" ht="15.75" customHeight="1">
      <c r="A133" s="67"/>
      <c r="B133" s="6"/>
      <c r="C133" s="6"/>
      <c r="D133" s="6"/>
      <c r="E133" s="6"/>
      <c r="F133" s="6"/>
      <c r="G133" s="6"/>
      <c r="H133" s="6"/>
      <c r="I133" s="6"/>
      <c r="J133" s="6"/>
      <c r="K133" s="6"/>
      <c r="M133" s="67"/>
      <c r="N133" s="6"/>
      <c r="O133" s="6"/>
      <c r="P133" s="6"/>
      <c r="Q133" s="6"/>
      <c r="R133" s="6"/>
      <c r="S133" s="6"/>
    </row>
    <row r="134" ht="15.75" customHeight="1">
      <c r="A134" s="67"/>
      <c r="B134" s="6"/>
      <c r="C134" s="6"/>
      <c r="D134" s="6"/>
      <c r="E134" s="6"/>
      <c r="F134" s="6"/>
      <c r="G134" s="6"/>
      <c r="H134" s="6"/>
      <c r="I134" s="6"/>
      <c r="J134" s="6"/>
      <c r="K134" s="6"/>
      <c r="M134" s="67"/>
      <c r="N134" s="6"/>
      <c r="O134" s="6"/>
      <c r="P134" s="6"/>
      <c r="Q134" s="6"/>
      <c r="R134" s="6"/>
      <c r="S134" s="6"/>
    </row>
    <row r="135" ht="15.75" customHeight="1">
      <c r="A135" s="67"/>
      <c r="B135" s="6"/>
      <c r="C135" s="6"/>
      <c r="D135" s="6"/>
      <c r="E135" s="6"/>
      <c r="F135" s="6"/>
      <c r="G135" s="6"/>
      <c r="H135" s="6"/>
      <c r="I135" s="6"/>
      <c r="J135" s="6"/>
      <c r="K135" s="6"/>
      <c r="M135" s="67"/>
      <c r="N135" s="6"/>
      <c r="O135" s="6"/>
      <c r="P135" s="6"/>
      <c r="Q135" s="6"/>
      <c r="R135" s="6"/>
      <c r="S135" s="6"/>
    </row>
    <row r="136" ht="15.75" customHeight="1">
      <c r="A136" s="67"/>
      <c r="B136" s="6"/>
      <c r="C136" s="6"/>
      <c r="D136" s="6"/>
      <c r="E136" s="6"/>
      <c r="F136" s="6"/>
      <c r="G136" s="6"/>
      <c r="H136" s="6"/>
      <c r="I136" s="6"/>
      <c r="J136" s="6"/>
      <c r="K136" s="6"/>
      <c r="M136" s="67"/>
      <c r="N136" s="6"/>
      <c r="O136" s="6"/>
      <c r="P136" s="6"/>
      <c r="Q136" s="6"/>
      <c r="R136" s="6"/>
      <c r="S136" s="6"/>
    </row>
    <row r="137" ht="15.75" customHeight="1">
      <c r="A137" s="67"/>
      <c r="B137" s="6"/>
      <c r="C137" s="6"/>
      <c r="D137" s="6"/>
      <c r="E137" s="6"/>
      <c r="F137" s="6"/>
      <c r="G137" s="6"/>
      <c r="H137" s="6"/>
      <c r="I137" s="6"/>
      <c r="J137" s="6"/>
      <c r="K137" s="6"/>
      <c r="M137" s="67"/>
      <c r="N137" s="6"/>
      <c r="O137" s="6"/>
      <c r="P137" s="6"/>
      <c r="Q137" s="6"/>
      <c r="R137" s="6"/>
      <c r="S137" s="6"/>
    </row>
    <row r="138" ht="15.75" customHeight="1">
      <c r="A138" s="67"/>
      <c r="B138" s="6"/>
      <c r="C138" s="6"/>
      <c r="D138" s="6"/>
      <c r="E138" s="6"/>
      <c r="F138" s="6"/>
      <c r="G138" s="6"/>
      <c r="H138" s="6"/>
      <c r="I138" s="6"/>
      <c r="J138" s="6"/>
      <c r="K138" s="6"/>
      <c r="M138" s="67"/>
      <c r="N138" s="6"/>
      <c r="O138" s="6"/>
      <c r="P138" s="6"/>
      <c r="Q138" s="6"/>
      <c r="R138" s="6"/>
      <c r="S138" s="6"/>
    </row>
    <row r="139" ht="15.75" customHeight="1">
      <c r="A139" s="67"/>
      <c r="B139" s="6"/>
      <c r="C139" s="6"/>
      <c r="D139" s="6"/>
      <c r="E139" s="6"/>
      <c r="F139" s="6"/>
      <c r="G139" s="6"/>
      <c r="H139" s="6"/>
      <c r="I139" s="6"/>
      <c r="J139" s="6"/>
      <c r="K139" s="6"/>
      <c r="M139" s="67"/>
      <c r="N139" s="6"/>
      <c r="O139" s="6"/>
      <c r="P139" s="6"/>
      <c r="Q139" s="6"/>
      <c r="R139" s="6"/>
      <c r="S139" s="6"/>
    </row>
    <row r="140" ht="15.75" customHeight="1">
      <c r="A140" s="67"/>
      <c r="B140" s="6"/>
      <c r="C140" s="6"/>
      <c r="D140" s="6"/>
      <c r="E140" s="6"/>
      <c r="F140" s="6"/>
      <c r="G140" s="6"/>
      <c r="H140" s="6"/>
      <c r="I140" s="6"/>
      <c r="J140" s="6"/>
      <c r="K140" s="6"/>
      <c r="M140" s="67"/>
      <c r="N140" s="6"/>
      <c r="O140" s="6"/>
      <c r="P140" s="6"/>
      <c r="Q140" s="6"/>
      <c r="R140" s="6"/>
      <c r="S140" s="6"/>
    </row>
    <row r="141" ht="15.75" customHeight="1">
      <c r="A141" s="67"/>
      <c r="B141" s="6"/>
      <c r="C141" s="6"/>
      <c r="D141" s="6"/>
      <c r="E141" s="6"/>
      <c r="F141" s="6"/>
      <c r="G141" s="6"/>
      <c r="H141" s="6"/>
      <c r="I141" s="6"/>
      <c r="J141" s="6"/>
      <c r="K141" s="6"/>
      <c r="M141" s="67"/>
      <c r="N141" s="6"/>
      <c r="O141" s="6"/>
      <c r="P141" s="6"/>
      <c r="Q141" s="6"/>
      <c r="R141" s="6"/>
      <c r="S141" s="6"/>
    </row>
    <row r="142" ht="15.75" customHeight="1">
      <c r="A142" s="67"/>
      <c r="B142" s="6"/>
      <c r="C142" s="6"/>
      <c r="D142" s="6"/>
      <c r="E142" s="6"/>
      <c r="F142" s="6"/>
      <c r="G142" s="6"/>
      <c r="H142" s="6"/>
      <c r="I142" s="6"/>
      <c r="J142" s="6"/>
      <c r="K142" s="6"/>
      <c r="M142" s="67"/>
      <c r="N142" s="6"/>
      <c r="O142" s="6"/>
      <c r="P142" s="6"/>
      <c r="Q142" s="6"/>
      <c r="R142" s="6"/>
      <c r="S142" s="6"/>
    </row>
    <row r="143" ht="15.75" customHeight="1">
      <c r="A143" s="67"/>
      <c r="B143" s="6"/>
      <c r="C143" s="6"/>
      <c r="D143" s="6"/>
      <c r="E143" s="6"/>
      <c r="F143" s="6"/>
      <c r="G143" s="6"/>
      <c r="H143" s="6"/>
      <c r="I143" s="6"/>
      <c r="J143" s="6"/>
      <c r="K143" s="6"/>
      <c r="M143" s="67"/>
      <c r="N143" s="6"/>
      <c r="O143" s="6"/>
      <c r="P143" s="6"/>
      <c r="Q143" s="6"/>
      <c r="R143" s="6"/>
      <c r="S143" s="6"/>
    </row>
    <row r="144" ht="15.75" customHeight="1">
      <c r="A144" s="67"/>
      <c r="B144" s="6"/>
      <c r="C144" s="6"/>
      <c r="D144" s="6"/>
      <c r="E144" s="6"/>
      <c r="F144" s="6"/>
      <c r="G144" s="6"/>
      <c r="H144" s="6"/>
      <c r="I144" s="6"/>
      <c r="J144" s="6"/>
      <c r="K144" s="6"/>
      <c r="M144" s="67"/>
      <c r="N144" s="6"/>
      <c r="O144" s="6"/>
      <c r="P144" s="6"/>
      <c r="Q144" s="6"/>
      <c r="R144" s="6"/>
      <c r="S144" s="6"/>
    </row>
    <row r="145" ht="15.75" customHeight="1">
      <c r="A145" s="67"/>
      <c r="B145" s="6"/>
      <c r="C145" s="6"/>
      <c r="D145" s="6"/>
      <c r="E145" s="6"/>
      <c r="F145" s="6"/>
      <c r="G145" s="6"/>
      <c r="H145" s="6"/>
      <c r="I145" s="6"/>
      <c r="J145" s="6"/>
      <c r="K145" s="6"/>
      <c r="M145" s="67"/>
      <c r="N145" s="6"/>
      <c r="O145" s="6"/>
      <c r="P145" s="6"/>
      <c r="Q145" s="6"/>
      <c r="R145" s="6"/>
      <c r="S145" s="6"/>
    </row>
    <row r="146" ht="15.75" customHeight="1">
      <c r="A146" s="67"/>
      <c r="B146" s="6"/>
      <c r="C146" s="6"/>
      <c r="D146" s="6"/>
      <c r="E146" s="6"/>
      <c r="F146" s="6"/>
      <c r="G146" s="6"/>
      <c r="H146" s="6"/>
      <c r="I146" s="6"/>
      <c r="J146" s="6"/>
      <c r="K146" s="6"/>
      <c r="M146" s="67"/>
      <c r="N146" s="6"/>
      <c r="O146" s="6"/>
      <c r="P146" s="6"/>
      <c r="Q146" s="6"/>
      <c r="R146" s="6"/>
      <c r="S146" s="6"/>
    </row>
    <row r="147" ht="15.75" customHeight="1">
      <c r="A147" s="67"/>
      <c r="B147" s="6"/>
      <c r="C147" s="6"/>
      <c r="D147" s="6"/>
      <c r="E147" s="6"/>
      <c r="F147" s="6"/>
      <c r="G147" s="6"/>
      <c r="H147" s="6"/>
      <c r="I147" s="6"/>
      <c r="J147" s="6"/>
      <c r="K147" s="6"/>
      <c r="M147" s="67"/>
      <c r="N147" s="6"/>
      <c r="O147" s="6"/>
      <c r="P147" s="6"/>
      <c r="Q147" s="6"/>
      <c r="R147" s="6"/>
      <c r="S147" s="6"/>
    </row>
    <row r="148" ht="15.75" customHeight="1">
      <c r="A148" s="67"/>
      <c r="B148" s="6"/>
      <c r="C148" s="6"/>
      <c r="D148" s="6"/>
      <c r="E148" s="6"/>
      <c r="F148" s="6"/>
      <c r="G148" s="6"/>
      <c r="H148" s="6"/>
      <c r="I148" s="6"/>
      <c r="J148" s="6"/>
      <c r="K148" s="6"/>
      <c r="M148" s="67"/>
      <c r="N148" s="6"/>
      <c r="O148" s="6"/>
      <c r="P148" s="6"/>
      <c r="Q148" s="6"/>
      <c r="R148" s="6"/>
      <c r="S148" s="6"/>
    </row>
    <row r="149" ht="15.75" customHeight="1">
      <c r="A149" s="67"/>
      <c r="B149" s="6"/>
      <c r="C149" s="6"/>
      <c r="D149" s="6"/>
      <c r="E149" s="6"/>
      <c r="F149" s="6"/>
      <c r="G149" s="6"/>
      <c r="H149" s="6"/>
      <c r="I149" s="6"/>
      <c r="J149" s="6"/>
      <c r="K149" s="6"/>
      <c r="M149" s="67"/>
      <c r="N149" s="6"/>
      <c r="O149" s="6"/>
      <c r="P149" s="6"/>
      <c r="Q149" s="6"/>
      <c r="R149" s="6"/>
      <c r="S149" s="6"/>
    </row>
    <row r="150" ht="15.75" customHeight="1">
      <c r="A150" s="67"/>
      <c r="B150" s="6"/>
      <c r="C150" s="6"/>
      <c r="D150" s="6"/>
      <c r="E150" s="6"/>
      <c r="F150" s="6"/>
      <c r="G150" s="6"/>
      <c r="H150" s="6"/>
      <c r="I150" s="6"/>
      <c r="J150" s="6"/>
      <c r="K150" s="6"/>
      <c r="M150" s="67"/>
      <c r="N150" s="6"/>
      <c r="O150" s="6"/>
      <c r="P150" s="6"/>
      <c r="Q150" s="6"/>
      <c r="R150" s="6"/>
      <c r="S150" s="6"/>
    </row>
    <row r="151" ht="15.75" customHeight="1">
      <c r="A151" s="67"/>
      <c r="B151" s="6"/>
      <c r="C151" s="6"/>
      <c r="D151" s="6"/>
      <c r="E151" s="6"/>
      <c r="F151" s="6"/>
      <c r="G151" s="6"/>
      <c r="H151" s="6"/>
      <c r="I151" s="6"/>
      <c r="J151" s="6"/>
      <c r="K151" s="6"/>
      <c r="M151" s="67"/>
      <c r="N151" s="6"/>
      <c r="O151" s="6"/>
      <c r="P151" s="6"/>
      <c r="Q151" s="6"/>
      <c r="R151" s="6"/>
      <c r="S151" s="6"/>
    </row>
    <row r="152" ht="15.75" customHeight="1">
      <c r="A152" s="67"/>
      <c r="B152" s="6"/>
      <c r="C152" s="6"/>
      <c r="D152" s="6"/>
      <c r="E152" s="6"/>
      <c r="F152" s="6"/>
      <c r="G152" s="6"/>
      <c r="H152" s="6"/>
      <c r="I152" s="6"/>
      <c r="J152" s="6"/>
      <c r="K152" s="6"/>
      <c r="M152" s="67"/>
      <c r="N152" s="6"/>
      <c r="O152" s="6"/>
      <c r="P152" s="6"/>
      <c r="Q152" s="6"/>
      <c r="R152" s="6"/>
      <c r="S152" s="6"/>
    </row>
    <row r="153" ht="15.75" customHeight="1">
      <c r="A153" s="67"/>
      <c r="B153" s="6"/>
      <c r="C153" s="6"/>
      <c r="D153" s="6"/>
      <c r="E153" s="6"/>
      <c r="F153" s="6"/>
      <c r="G153" s="6"/>
      <c r="H153" s="6"/>
      <c r="I153" s="6"/>
      <c r="J153" s="6"/>
      <c r="K153" s="6"/>
      <c r="M153" s="67"/>
      <c r="N153" s="6"/>
      <c r="O153" s="6"/>
      <c r="P153" s="6"/>
      <c r="Q153" s="6"/>
      <c r="R153" s="6"/>
      <c r="S153" s="6"/>
    </row>
    <row r="154" ht="15.75" customHeight="1">
      <c r="A154" s="67"/>
      <c r="B154" s="6"/>
      <c r="C154" s="6"/>
      <c r="D154" s="6"/>
      <c r="E154" s="6"/>
      <c r="F154" s="6"/>
      <c r="G154" s="6"/>
      <c r="H154" s="6"/>
      <c r="I154" s="6"/>
      <c r="J154" s="6"/>
      <c r="K154" s="6"/>
      <c r="M154" s="67"/>
      <c r="N154" s="6"/>
      <c r="O154" s="6"/>
      <c r="P154" s="6"/>
      <c r="Q154" s="6"/>
      <c r="R154" s="6"/>
      <c r="S154" s="6"/>
    </row>
    <row r="155" ht="15.75" customHeight="1">
      <c r="A155" s="67"/>
      <c r="B155" s="6"/>
      <c r="C155" s="6"/>
      <c r="D155" s="6"/>
      <c r="E155" s="6"/>
      <c r="F155" s="6"/>
      <c r="G155" s="6"/>
      <c r="H155" s="6"/>
      <c r="I155" s="6"/>
      <c r="J155" s="6"/>
      <c r="K155" s="6"/>
      <c r="M155" s="67"/>
      <c r="N155" s="6"/>
      <c r="O155" s="6"/>
      <c r="P155" s="6"/>
      <c r="Q155" s="6"/>
      <c r="R155" s="6"/>
      <c r="S155" s="6"/>
    </row>
    <row r="156" ht="15.75" customHeight="1">
      <c r="A156" s="67"/>
      <c r="B156" s="6"/>
      <c r="C156" s="6"/>
      <c r="D156" s="6"/>
      <c r="E156" s="6"/>
      <c r="F156" s="6"/>
      <c r="G156" s="6"/>
      <c r="H156" s="6"/>
      <c r="I156" s="6"/>
      <c r="J156" s="6"/>
      <c r="K156" s="6"/>
      <c r="M156" s="67"/>
      <c r="N156" s="6"/>
      <c r="O156" s="6"/>
      <c r="P156" s="6"/>
      <c r="Q156" s="6"/>
      <c r="R156" s="6"/>
      <c r="S156" s="6"/>
    </row>
    <row r="157" ht="15.75" customHeight="1">
      <c r="A157" s="67"/>
      <c r="B157" s="6"/>
      <c r="C157" s="6"/>
      <c r="D157" s="6"/>
      <c r="E157" s="6"/>
      <c r="F157" s="6"/>
      <c r="G157" s="6"/>
      <c r="H157" s="6"/>
      <c r="I157" s="6"/>
      <c r="J157" s="6"/>
      <c r="K157" s="6"/>
      <c r="M157" s="67"/>
      <c r="N157" s="6"/>
      <c r="O157" s="6"/>
      <c r="P157" s="6"/>
      <c r="Q157" s="6"/>
      <c r="R157" s="6"/>
      <c r="S157" s="6"/>
    </row>
    <row r="158" ht="15.75" customHeight="1">
      <c r="A158" s="67"/>
      <c r="B158" s="6"/>
      <c r="C158" s="6"/>
      <c r="D158" s="6"/>
      <c r="E158" s="6"/>
      <c r="F158" s="6"/>
      <c r="G158" s="6"/>
      <c r="H158" s="6"/>
      <c r="I158" s="6"/>
      <c r="J158" s="6"/>
      <c r="K158" s="6"/>
      <c r="M158" s="67"/>
      <c r="N158" s="6"/>
      <c r="O158" s="6"/>
      <c r="P158" s="6"/>
      <c r="Q158" s="6"/>
      <c r="R158" s="6"/>
      <c r="S158" s="6"/>
    </row>
    <row r="159" ht="15.75" customHeight="1">
      <c r="A159" s="67"/>
      <c r="B159" s="6"/>
      <c r="C159" s="6"/>
      <c r="D159" s="6"/>
      <c r="E159" s="6"/>
      <c r="F159" s="6"/>
      <c r="G159" s="6"/>
      <c r="H159" s="6"/>
      <c r="I159" s="6"/>
      <c r="J159" s="6"/>
      <c r="K159" s="6"/>
      <c r="M159" s="67"/>
      <c r="N159" s="6"/>
      <c r="O159" s="6"/>
      <c r="P159" s="6"/>
      <c r="Q159" s="6"/>
      <c r="R159" s="6"/>
      <c r="S159" s="6"/>
    </row>
    <row r="160" ht="15.75" customHeight="1">
      <c r="A160" s="67"/>
      <c r="B160" s="6"/>
      <c r="C160" s="6"/>
      <c r="D160" s="6"/>
      <c r="E160" s="6"/>
      <c r="F160" s="6"/>
      <c r="G160" s="6"/>
      <c r="H160" s="6"/>
      <c r="I160" s="6"/>
      <c r="J160" s="6"/>
      <c r="K160" s="6"/>
      <c r="M160" s="67"/>
      <c r="N160" s="6"/>
      <c r="O160" s="6"/>
      <c r="P160" s="6"/>
      <c r="Q160" s="6"/>
      <c r="R160" s="6"/>
      <c r="S160" s="6"/>
    </row>
    <row r="161" ht="15.75" customHeight="1">
      <c r="A161" s="67"/>
      <c r="B161" s="6"/>
      <c r="C161" s="6"/>
      <c r="D161" s="6"/>
      <c r="E161" s="6"/>
      <c r="F161" s="6"/>
      <c r="G161" s="6"/>
      <c r="H161" s="6"/>
      <c r="I161" s="6"/>
      <c r="J161" s="6"/>
      <c r="K161" s="6"/>
      <c r="M161" s="67"/>
      <c r="N161" s="6"/>
      <c r="O161" s="6"/>
      <c r="P161" s="6"/>
      <c r="Q161" s="6"/>
      <c r="R161" s="6"/>
      <c r="S161" s="6"/>
    </row>
    <row r="162" ht="15.75" customHeight="1">
      <c r="A162" s="67"/>
      <c r="B162" s="6"/>
      <c r="C162" s="6"/>
      <c r="D162" s="6"/>
      <c r="E162" s="6"/>
      <c r="F162" s="6"/>
      <c r="G162" s="6"/>
      <c r="H162" s="6"/>
      <c r="I162" s="6"/>
      <c r="J162" s="6"/>
      <c r="K162" s="6"/>
      <c r="M162" s="67"/>
      <c r="N162" s="6"/>
      <c r="O162" s="6"/>
      <c r="P162" s="6"/>
      <c r="Q162" s="6"/>
      <c r="R162" s="6"/>
      <c r="S162" s="6"/>
    </row>
    <row r="163" ht="15.75" customHeight="1">
      <c r="A163" s="67"/>
      <c r="B163" s="6"/>
      <c r="C163" s="6"/>
      <c r="D163" s="6"/>
      <c r="E163" s="6"/>
      <c r="F163" s="6"/>
      <c r="G163" s="6"/>
      <c r="H163" s="6"/>
      <c r="I163" s="6"/>
      <c r="J163" s="6"/>
      <c r="K163" s="6"/>
      <c r="M163" s="67"/>
      <c r="N163" s="6"/>
      <c r="O163" s="6"/>
      <c r="P163" s="6"/>
      <c r="Q163" s="6"/>
      <c r="R163" s="6"/>
      <c r="S163" s="6"/>
    </row>
    <row r="164" ht="15.75" customHeight="1">
      <c r="A164" s="67"/>
      <c r="B164" s="6"/>
      <c r="C164" s="6"/>
      <c r="D164" s="6"/>
      <c r="E164" s="6"/>
      <c r="F164" s="6"/>
      <c r="G164" s="6"/>
      <c r="H164" s="6"/>
      <c r="I164" s="6"/>
      <c r="J164" s="6"/>
      <c r="K164" s="6"/>
      <c r="M164" s="67"/>
      <c r="N164" s="6"/>
      <c r="O164" s="6"/>
      <c r="P164" s="6"/>
      <c r="Q164" s="6"/>
      <c r="R164" s="6"/>
      <c r="S164" s="6"/>
    </row>
    <row r="165" ht="15.75" customHeight="1">
      <c r="A165" s="67"/>
      <c r="B165" s="6"/>
      <c r="C165" s="6"/>
      <c r="D165" s="6"/>
      <c r="E165" s="6"/>
      <c r="F165" s="6"/>
      <c r="G165" s="6"/>
      <c r="H165" s="6"/>
      <c r="I165" s="6"/>
      <c r="J165" s="6"/>
      <c r="K165" s="6"/>
      <c r="M165" s="67"/>
      <c r="N165" s="6"/>
      <c r="O165" s="6"/>
      <c r="P165" s="6"/>
      <c r="Q165" s="6"/>
      <c r="R165" s="6"/>
      <c r="S165" s="6"/>
    </row>
    <row r="166" ht="15.75" customHeight="1">
      <c r="A166" s="67"/>
      <c r="B166" s="6"/>
      <c r="C166" s="6"/>
      <c r="D166" s="6"/>
      <c r="E166" s="6"/>
      <c r="F166" s="6"/>
      <c r="G166" s="6"/>
      <c r="H166" s="6"/>
      <c r="I166" s="6"/>
      <c r="J166" s="6"/>
      <c r="K166" s="6"/>
      <c r="M166" s="67"/>
      <c r="N166" s="6"/>
      <c r="O166" s="6"/>
      <c r="P166" s="6"/>
      <c r="Q166" s="6"/>
      <c r="R166" s="6"/>
      <c r="S166" s="6"/>
    </row>
    <row r="167" ht="15.75" customHeight="1">
      <c r="A167" s="67"/>
      <c r="B167" s="6"/>
      <c r="C167" s="6"/>
      <c r="D167" s="6"/>
      <c r="E167" s="6"/>
      <c r="F167" s="6"/>
      <c r="G167" s="6"/>
      <c r="H167" s="6"/>
      <c r="I167" s="6"/>
      <c r="J167" s="6"/>
      <c r="K167" s="6"/>
      <c r="M167" s="67"/>
      <c r="N167" s="6"/>
      <c r="O167" s="6"/>
      <c r="P167" s="6"/>
      <c r="Q167" s="6"/>
      <c r="R167" s="6"/>
      <c r="S167" s="6"/>
    </row>
    <row r="168" ht="15.75" customHeight="1">
      <c r="A168" s="67"/>
      <c r="B168" s="6"/>
      <c r="C168" s="6"/>
      <c r="D168" s="6"/>
      <c r="E168" s="6"/>
      <c r="F168" s="6"/>
      <c r="G168" s="6"/>
      <c r="H168" s="6"/>
      <c r="I168" s="6"/>
      <c r="J168" s="6"/>
      <c r="K168" s="6"/>
      <c r="M168" s="67"/>
      <c r="N168" s="6"/>
      <c r="O168" s="6"/>
      <c r="P168" s="6"/>
      <c r="Q168" s="6"/>
      <c r="R168" s="6"/>
      <c r="S168" s="6"/>
    </row>
    <row r="169" ht="15.75" customHeight="1">
      <c r="A169" s="67"/>
      <c r="B169" s="6"/>
      <c r="C169" s="6"/>
      <c r="D169" s="6"/>
      <c r="E169" s="6"/>
      <c r="F169" s="6"/>
      <c r="G169" s="6"/>
      <c r="H169" s="6"/>
      <c r="I169" s="6"/>
      <c r="J169" s="6"/>
      <c r="K169" s="6"/>
      <c r="M169" s="67"/>
      <c r="N169" s="6"/>
      <c r="O169" s="6"/>
      <c r="P169" s="6"/>
      <c r="Q169" s="6"/>
      <c r="R169" s="6"/>
      <c r="S169" s="6"/>
    </row>
    <row r="170" ht="15.75" customHeight="1">
      <c r="A170" s="67"/>
      <c r="B170" s="6"/>
      <c r="C170" s="6"/>
      <c r="D170" s="6"/>
      <c r="E170" s="6"/>
      <c r="F170" s="6"/>
      <c r="G170" s="6"/>
      <c r="H170" s="6"/>
      <c r="I170" s="6"/>
      <c r="J170" s="6"/>
      <c r="K170" s="6"/>
      <c r="M170" s="67"/>
      <c r="N170" s="6"/>
      <c r="O170" s="6"/>
      <c r="P170" s="6"/>
      <c r="Q170" s="6"/>
      <c r="R170" s="6"/>
      <c r="S170" s="6"/>
    </row>
    <row r="171" ht="15.75" customHeight="1">
      <c r="A171" s="67"/>
      <c r="B171" s="6"/>
      <c r="C171" s="6"/>
      <c r="D171" s="6"/>
      <c r="E171" s="6"/>
      <c r="F171" s="6"/>
      <c r="G171" s="6"/>
      <c r="H171" s="6"/>
      <c r="I171" s="6"/>
      <c r="J171" s="6"/>
      <c r="K171" s="6"/>
      <c r="M171" s="67"/>
      <c r="N171" s="6"/>
      <c r="O171" s="6"/>
      <c r="P171" s="6"/>
      <c r="Q171" s="6"/>
      <c r="R171" s="6"/>
      <c r="S171" s="6"/>
    </row>
    <row r="172" ht="15.75" customHeight="1">
      <c r="A172" s="67"/>
      <c r="B172" s="6"/>
      <c r="C172" s="6"/>
      <c r="D172" s="6"/>
      <c r="E172" s="6"/>
      <c r="F172" s="6"/>
      <c r="G172" s="6"/>
      <c r="H172" s="6"/>
      <c r="I172" s="6"/>
      <c r="J172" s="6"/>
      <c r="K172" s="6"/>
      <c r="M172" s="67"/>
      <c r="N172" s="6"/>
      <c r="O172" s="6"/>
      <c r="P172" s="6"/>
      <c r="Q172" s="6"/>
      <c r="R172" s="6"/>
      <c r="S172" s="6"/>
    </row>
    <row r="173" ht="15.75" customHeight="1">
      <c r="A173" s="67"/>
      <c r="B173" s="6"/>
      <c r="C173" s="6"/>
      <c r="D173" s="6"/>
      <c r="E173" s="6"/>
      <c r="F173" s="6"/>
      <c r="G173" s="6"/>
      <c r="H173" s="6"/>
      <c r="I173" s="6"/>
      <c r="J173" s="6"/>
      <c r="K173" s="6"/>
      <c r="M173" s="67"/>
      <c r="N173" s="6"/>
      <c r="O173" s="6"/>
      <c r="P173" s="6"/>
      <c r="Q173" s="6"/>
      <c r="R173" s="6"/>
      <c r="S173" s="6"/>
    </row>
    <row r="174" ht="15.75" customHeight="1">
      <c r="A174" s="67"/>
      <c r="B174" s="6"/>
      <c r="C174" s="6"/>
      <c r="D174" s="6"/>
      <c r="E174" s="6"/>
      <c r="F174" s="6"/>
      <c r="G174" s="6"/>
      <c r="H174" s="6"/>
      <c r="I174" s="6"/>
      <c r="J174" s="6"/>
      <c r="K174" s="6"/>
      <c r="M174" s="67"/>
      <c r="N174" s="6"/>
      <c r="O174" s="6"/>
      <c r="P174" s="6"/>
      <c r="Q174" s="6"/>
      <c r="R174" s="6"/>
      <c r="S174" s="6"/>
    </row>
    <row r="175" ht="15.75" customHeight="1">
      <c r="A175" s="67"/>
      <c r="B175" s="6"/>
      <c r="C175" s="6"/>
      <c r="D175" s="6"/>
      <c r="E175" s="6"/>
      <c r="F175" s="6"/>
      <c r="G175" s="6"/>
      <c r="H175" s="6"/>
      <c r="I175" s="6"/>
      <c r="J175" s="6"/>
      <c r="K175" s="6"/>
      <c r="M175" s="67"/>
      <c r="N175" s="6"/>
      <c r="O175" s="6"/>
      <c r="P175" s="6"/>
      <c r="Q175" s="6"/>
      <c r="R175" s="6"/>
      <c r="S175" s="6"/>
    </row>
    <row r="176" ht="15.75" customHeight="1">
      <c r="A176" s="67"/>
      <c r="B176" s="6"/>
      <c r="C176" s="6"/>
      <c r="D176" s="6"/>
      <c r="E176" s="6"/>
      <c r="F176" s="6"/>
      <c r="G176" s="6"/>
      <c r="H176" s="6"/>
      <c r="I176" s="6"/>
      <c r="J176" s="6"/>
      <c r="K176" s="6"/>
      <c r="M176" s="67"/>
      <c r="N176" s="6"/>
      <c r="O176" s="6"/>
      <c r="P176" s="6"/>
      <c r="Q176" s="6"/>
      <c r="R176" s="6"/>
      <c r="S176" s="6"/>
    </row>
    <row r="177" ht="15.75" customHeight="1">
      <c r="A177" s="67"/>
      <c r="B177" s="6"/>
      <c r="C177" s="6"/>
      <c r="D177" s="6"/>
      <c r="E177" s="6"/>
      <c r="F177" s="6"/>
      <c r="G177" s="6"/>
      <c r="H177" s="6"/>
      <c r="I177" s="6"/>
      <c r="J177" s="6"/>
      <c r="K177" s="6"/>
      <c r="M177" s="67"/>
      <c r="N177" s="6"/>
      <c r="O177" s="6"/>
      <c r="P177" s="6"/>
      <c r="Q177" s="6"/>
      <c r="R177" s="6"/>
      <c r="S177" s="6"/>
    </row>
    <row r="178" ht="15.75" customHeight="1">
      <c r="A178" s="67"/>
      <c r="B178" s="6"/>
      <c r="C178" s="6"/>
      <c r="D178" s="6"/>
      <c r="E178" s="6"/>
      <c r="F178" s="6"/>
      <c r="G178" s="6"/>
      <c r="H178" s="6"/>
      <c r="I178" s="6"/>
      <c r="J178" s="6"/>
      <c r="K178" s="6"/>
      <c r="M178" s="67"/>
      <c r="N178" s="6"/>
      <c r="O178" s="6"/>
      <c r="P178" s="6"/>
      <c r="Q178" s="6"/>
      <c r="R178" s="6"/>
      <c r="S178" s="6"/>
    </row>
    <row r="179" ht="15.75" customHeight="1">
      <c r="A179" s="67"/>
      <c r="B179" s="6"/>
      <c r="C179" s="6"/>
      <c r="D179" s="6"/>
      <c r="E179" s="6"/>
      <c r="F179" s="6"/>
      <c r="G179" s="6"/>
      <c r="H179" s="6"/>
      <c r="I179" s="6"/>
      <c r="J179" s="6"/>
      <c r="K179" s="6"/>
      <c r="M179" s="67"/>
      <c r="N179" s="6"/>
      <c r="O179" s="6"/>
      <c r="P179" s="6"/>
      <c r="Q179" s="6"/>
      <c r="R179" s="6"/>
      <c r="S179" s="6"/>
    </row>
    <row r="180" ht="15.75" customHeight="1">
      <c r="A180" s="67"/>
      <c r="B180" s="6"/>
      <c r="C180" s="6"/>
      <c r="D180" s="6"/>
      <c r="E180" s="6"/>
      <c r="F180" s="6"/>
      <c r="G180" s="6"/>
      <c r="H180" s="6"/>
      <c r="I180" s="6"/>
      <c r="J180" s="6"/>
      <c r="K180" s="6"/>
      <c r="M180" s="67"/>
      <c r="N180" s="6"/>
      <c r="O180" s="6"/>
      <c r="P180" s="6"/>
      <c r="Q180" s="6"/>
      <c r="R180" s="6"/>
      <c r="S180" s="6"/>
    </row>
    <row r="181" ht="15.75" customHeight="1">
      <c r="A181" s="67"/>
      <c r="B181" s="6"/>
      <c r="C181" s="6"/>
      <c r="D181" s="6"/>
      <c r="E181" s="6"/>
      <c r="F181" s="6"/>
      <c r="G181" s="6"/>
      <c r="H181" s="6"/>
      <c r="I181" s="6"/>
      <c r="J181" s="6"/>
      <c r="K181" s="6"/>
      <c r="M181" s="67"/>
      <c r="N181" s="6"/>
      <c r="O181" s="6"/>
      <c r="P181" s="6"/>
      <c r="Q181" s="6"/>
      <c r="R181" s="6"/>
      <c r="S181" s="6"/>
    </row>
    <row r="182" ht="15.75" customHeight="1">
      <c r="A182" s="67"/>
      <c r="B182" s="6"/>
      <c r="C182" s="6"/>
      <c r="D182" s="6"/>
      <c r="E182" s="6"/>
      <c r="F182" s="6"/>
      <c r="G182" s="6"/>
      <c r="H182" s="6"/>
      <c r="I182" s="6"/>
      <c r="J182" s="6"/>
      <c r="K182" s="6"/>
      <c r="M182" s="67"/>
      <c r="N182" s="6"/>
      <c r="O182" s="6"/>
      <c r="P182" s="6"/>
      <c r="Q182" s="6"/>
      <c r="R182" s="6"/>
      <c r="S182" s="6"/>
    </row>
    <row r="183" ht="15.75" customHeight="1">
      <c r="A183" s="67"/>
      <c r="B183" s="6"/>
      <c r="C183" s="6"/>
      <c r="D183" s="6"/>
      <c r="E183" s="6"/>
      <c r="F183" s="6"/>
      <c r="G183" s="6"/>
      <c r="H183" s="6"/>
      <c r="I183" s="6"/>
      <c r="J183" s="6"/>
      <c r="K183" s="6"/>
      <c r="M183" s="67"/>
      <c r="N183" s="6"/>
      <c r="O183" s="6"/>
      <c r="P183" s="6"/>
      <c r="Q183" s="6"/>
      <c r="R183" s="6"/>
      <c r="S183" s="6"/>
    </row>
    <row r="184" ht="15.75" customHeight="1">
      <c r="A184" s="67"/>
      <c r="B184" s="6"/>
      <c r="C184" s="6"/>
      <c r="D184" s="6"/>
      <c r="E184" s="6"/>
      <c r="F184" s="6"/>
      <c r="G184" s="6"/>
      <c r="H184" s="6"/>
      <c r="I184" s="6"/>
      <c r="J184" s="6"/>
      <c r="K184" s="6"/>
      <c r="M184" s="67"/>
      <c r="N184" s="6"/>
      <c r="O184" s="6"/>
      <c r="P184" s="6"/>
      <c r="Q184" s="6"/>
      <c r="R184" s="6"/>
      <c r="S184" s="6"/>
    </row>
    <row r="185" ht="15.75" customHeight="1">
      <c r="A185" s="67"/>
      <c r="B185" s="6"/>
      <c r="C185" s="6"/>
      <c r="D185" s="6"/>
      <c r="E185" s="6"/>
      <c r="F185" s="6"/>
      <c r="G185" s="6"/>
      <c r="H185" s="6"/>
      <c r="I185" s="6"/>
      <c r="J185" s="6"/>
      <c r="K185" s="6"/>
      <c r="M185" s="67"/>
      <c r="N185" s="6"/>
      <c r="O185" s="6"/>
      <c r="P185" s="6"/>
      <c r="Q185" s="6"/>
      <c r="R185" s="6"/>
      <c r="S185" s="6"/>
    </row>
    <row r="186" ht="15.75" customHeight="1">
      <c r="A186" s="67"/>
      <c r="B186" s="6"/>
      <c r="C186" s="6"/>
      <c r="D186" s="6"/>
      <c r="E186" s="6"/>
      <c r="F186" s="6"/>
      <c r="G186" s="6"/>
      <c r="H186" s="6"/>
      <c r="I186" s="6"/>
      <c r="J186" s="6"/>
      <c r="K186" s="6"/>
      <c r="M186" s="67"/>
      <c r="N186" s="6"/>
      <c r="O186" s="6"/>
      <c r="P186" s="6"/>
      <c r="Q186" s="6"/>
      <c r="R186" s="6"/>
      <c r="S186" s="6"/>
    </row>
    <row r="187" ht="15.75" customHeight="1">
      <c r="A187" s="67"/>
      <c r="B187" s="6"/>
      <c r="C187" s="6"/>
      <c r="D187" s="6"/>
      <c r="E187" s="6"/>
      <c r="F187" s="6"/>
      <c r="G187" s="6"/>
      <c r="H187" s="6"/>
      <c r="I187" s="6"/>
      <c r="J187" s="6"/>
      <c r="K187" s="6"/>
      <c r="M187" s="67"/>
      <c r="N187" s="6"/>
      <c r="O187" s="6"/>
      <c r="P187" s="6"/>
      <c r="Q187" s="6"/>
      <c r="R187" s="6"/>
      <c r="S187" s="6"/>
    </row>
    <row r="188" ht="15.75" customHeight="1">
      <c r="A188" s="67"/>
      <c r="B188" s="6"/>
      <c r="C188" s="6"/>
      <c r="D188" s="6"/>
      <c r="E188" s="6"/>
      <c r="F188" s="6"/>
      <c r="G188" s="6"/>
      <c r="H188" s="6"/>
      <c r="I188" s="6"/>
      <c r="J188" s="6"/>
      <c r="K188" s="6"/>
      <c r="M188" s="67"/>
      <c r="N188" s="6"/>
      <c r="O188" s="6"/>
      <c r="P188" s="6"/>
      <c r="Q188" s="6"/>
      <c r="R188" s="6"/>
      <c r="S188" s="6"/>
    </row>
    <row r="189" ht="15.75" customHeight="1">
      <c r="A189" s="67"/>
      <c r="B189" s="6"/>
      <c r="C189" s="6"/>
      <c r="D189" s="6"/>
      <c r="E189" s="6"/>
      <c r="F189" s="6"/>
      <c r="G189" s="6"/>
      <c r="H189" s="6"/>
      <c r="I189" s="6"/>
      <c r="J189" s="6"/>
      <c r="K189" s="6"/>
      <c r="M189" s="67"/>
      <c r="N189" s="6"/>
      <c r="O189" s="6"/>
      <c r="P189" s="6"/>
      <c r="Q189" s="6"/>
      <c r="R189" s="6"/>
      <c r="S189" s="6"/>
    </row>
    <row r="190" ht="15.75" customHeight="1">
      <c r="A190" s="67"/>
      <c r="B190" s="6"/>
      <c r="C190" s="6"/>
      <c r="D190" s="6"/>
      <c r="E190" s="6"/>
      <c r="F190" s="6"/>
      <c r="G190" s="6"/>
      <c r="H190" s="6"/>
      <c r="I190" s="6"/>
      <c r="J190" s="6"/>
      <c r="K190" s="6"/>
      <c r="M190" s="67"/>
      <c r="N190" s="6"/>
      <c r="O190" s="6"/>
      <c r="P190" s="6"/>
      <c r="Q190" s="6"/>
      <c r="R190" s="6"/>
      <c r="S190" s="6"/>
    </row>
    <row r="191" ht="15.75" customHeight="1">
      <c r="A191" s="67"/>
      <c r="B191" s="6"/>
      <c r="C191" s="6"/>
      <c r="D191" s="6"/>
      <c r="E191" s="6"/>
      <c r="F191" s="6"/>
      <c r="G191" s="6"/>
      <c r="H191" s="6"/>
      <c r="I191" s="6"/>
      <c r="J191" s="6"/>
      <c r="K191" s="6"/>
      <c r="M191" s="67"/>
      <c r="N191" s="6"/>
      <c r="O191" s="6"/>
      <c r="P191" s="6"/>
      <c r="Q191" s="6"/>
      <c r="R191" s="6"/>
      <c r="S191" s="6"/>
    </row>
    <row r="192" ht="15.75" customHeight="1">
      <c r="A192" s="67"/>
      <c r="B192" s="6"/>
      <c r="C192" s="6"/>
      <c r="D192" s="6"/>
      <c r="E192" s="6"/>
      <c r="F192" s="6"/>
      <c r="G192" s="6"/>
      <c r="H192" s="6"/>
      <c r="I192" s="6"/>
      <c r="J192" s="6"/>
      <c r="K192" s="6"/>
      <c r="M192" s="67"/>
      <c r="N192" s="6"/>
      <c r="O192" s="6"/>
      <c r="P192" s="6"/>
      <c r="Q192" s="6"/>
      <c r="R192" s="6"/>
      <c r="S192" s="6"/>
    </row>
    <row r="193" ht="15.75" customHeight="1">
      <c r="A193" s="67"/>
      <c r="B193" s="6"/>
      <c r="C193" s="6"/>
      <c r="D193" s="6"/>
      <c r="E193" s="6"/>
      <c r="F193" s="6"/>
      <c r="G193" s="6"/>
      <c r="H193" s="6"/>
      <c r="I193" s="6"/>
      <c r="J193" s="6"/>
      <c r="K193" s="6"/>
      <c r="M193" s="67"/>
      <c r="N193" s="6"/>
      <c r="O193" s="6"/>
      <c r="P193" s="6"/>
      <c r="Q193" s="6"/>
      <c r="R193" s="6"/>
      <c r="S193" s="6"/>
    </row>
    <row r="194" ht="15.75" customHeight="1">
      <c r="A194" s="67"/>
      <c r="B194" s="6"/>
      <c r="C194" s="6"/>
      <c r="D194" s="6"/>
      <c r="E194" s="6"/>
      <c r="F194" s="6"/>
      <c r="G194" s="6"/>
      <c r="H194" s="6"/>
      <c r="I194" s="6"/>
      <c r="J194" s="6"/>
      <c r="K194" s="6"/>
      <c r="M194" s="67"/>
      <c r="N194" s="6"/>
      <c r="O194" s="6"/>
      <c r="P194" s="6"/>
      <c r="Q194" s="6"/>
      <c r="R194" s="6"/>
      <c r="S194" s="6"/>
    </row>
    <row r="195" ht="15.75" customHeight="1">
      <c r="A195" s="67"/>
      <c r="B195" s="6"/>
      <c r="C195" s="6"/>
      <c r="D195" s="6"/>
      <c r="E195" s="6"/>
      <c r="F195" s="6"/>
      <c r="G195" s="6"/>
      <c r="H195" s="6"/>
      <c r="I195" s="6"/>
      <c r="J195" s="6"/>
      <c r="K195" s="6"/>
      <c r="M195" s="67"/>
      <c r="N195" s="6"/>
      <c r="O195" s="6"/>
      <c r="P195" s="6"/>
      <c r="Q195" s="6"/>
      <c r="R195" s="6"/>
      <c r="S195" s="6"/>
    </row>
    <row r="196" ht="15.75" customHeight="1">
      <c r="A196" s="67"/>
      <c r="B196" s="6"/>
      <c r="C196" s="6"/>
      <c r="D196" s="6"/>
      <c r="E196" s="6"/>
      <c r="F196" s="6"/>
      <c r="G196" s="6"/>
      <c r="H196" s="6"/>
      <c r="I196" s="6"/>
      <c r="J196" s="6"/>
      <c r="K196" s="6"/>
      <c r="M196" s="67"/>
      <c r="N196" s="6"/>
      <c r="O196" s="6"/>
      <c r="P196" s="6"/>
      <c r="Q196" s="6"/>
      <c r="R196" s="6"/>
      <c r="S196" s="6"/>
    </row>
    <row r="197" ht="15.75" customHeight="1">
      <c r="A197" s="67"/>
      <c r="B197" s="6"/>
      <c r="C197" s="6"/>
      <c r="D197" s="6"/>
      <c r="E197" s="6"/>
      <c r="F197" s="6"/>
      <c r="G197" s="6"/>
      <c r="H197" s="6"/>
      <c r="I197" s="6"/>
      <c r="J197" s="6"/>
      <c r="K197" s="6"/>
      <c r="M197" s="67"/>
      <c r="N197" s="6"/>
      <c r="O197" s="6"/>
      <c r="P197" s="6"/>
      <c r="Q197" s="6"/>
      <c r="R197" s="6"/>
      <c r="S197" s="6"/>
    </row>
    <row r="198" ht="15.75" customHeight="1">
      <c r="A198" s="67"/>
      <c r="B198" s="6"/>
      <c r="C198" s="6"/>
      <c r="D198" s="6"/>
      <c r="E198" s="6"/>
      <c r="F198" s="6"/>
      <c r="G198" s="6"/>
      <c r="H198" s="6"/>
      <c r="I198" s="6"/>
      <c r="J198" s="6"/>
      <c r="K198" s="6"/>
      <c r="M198" s="67"/>
      <c r="N198" s="6"/>
      <c r="O198" s="6"/>
      <c r="P198" s="6"/>
      <c r="Q198" s="6"/>
      <c r="R198" s="6"/>
      <c r="S198" s="6"/>
    </row>
    <row r="199" ht="15.75" customHeight="1">
      <c r="A199" s="67"/>
      <c r="B199" s="6"/>
      <c r="C199" s="6"/>
      <c r="D199" s="6"/>
      <c r="E199" s="6"/>
      <c r="F199" s="6"/>
      <c r="G199" s="6"/>
      <c r="H199" s="6"/>
      <c r="I199" s="6"/>
      <c r="J199" s="6"/>
      <c r="K199" s="6"/>
      <c r="M199" s="67"/>
      <c r="N199" s="6"/>
      <c r="O199" s="6"/>
      <c r="P199" s="6"/>
      <c r="Q199" s="6"/>
      <c r="R199" s="6"/>
      <c r="S199" s="6"/>
    </row>
    <row r="200" ht="15.75" customHeight="1">
      <c r="A200" s="67"/>
      <c r="B200" s="6"/>
      <c r="C200" s="6"/>
      <c r="D200" s="6"/>
      <c r="E200" s="6"/>
      <c r="F200" s="6"/>
      <c r="G200" s="6"/>
      <c r="H200" s="6"/>
      <c r="I200" s="6"/>
      <c r="J200" s="6"/>
      <c r="K200" s="6"/>
      <c r="M200" s="67"/>
      <c r="N200" s="6"/>
      <c r="O200" s="6"/>
      <c r="P200" s="6"/>
      <c r="Q200" s="6"/>
      <c r="R200" s="6"/>
      <c r="S200" s="6"/>
    </row>
    <row r="201" ht="15.75" customHeight="1"/>
    <row r="202" ht="15.75" customHeight="1"/>
    <row r="203" ht="15.75" customHeight="1"/>
    <row r="204" ht="15.75" customHeight="1">
      <c r="A204" s="67"/>
      <c r="B204" s="6"/>
      <c r="C204" s="6" t="s">
        <v>15</v>
      </c>
      <c r="D204" s="6" t="s">
        <v>24</v>
      </c>
      <c r="E204" s="6" t="s">
        <v>55</v>
      </c>
      <c r="F204" s="6" t="s">
        <v>45</v>
      </c>
      <c r="G204" s="6" t="s">
        <v>46</v>
      </c>
      <c r="H204" s="6"/>
      <c r="I204" s="6"/>
      <c r="J204" s="6"/>
      <c r="K204" s="6"/>
      <c r="M204" s="79"/>
      <c r="O204" s="23"/>
      <c r="P204" s="23" t="s">
        <v>20</v>
      </c>
    </row>
    <row r="205" ht="15.75" customHeight="1">
      <c r="A205" s="67"/>
      <c r="B205" s="6"/>
      <c r="C205" s="6" t="s">
        <v>27</v>
      </c>
      <c r="D205" s="6" t="s">
        <v>28</v>
      </c>
      <c r="E205" s="6" t="s">
        <v>17</v>
      </c>
      <c r="F205" s="6" t="s">
        <v>18</v>
      </c>
      <c r="G205" s="6" t="s">
        <v>19</v>
      </c>
      <c r="H205" s="6"/>
      <c r="I205" s="6"/>
      <c r="J205" s="6"/>
      <c r="K205" s="6"/>
      <c r="M205" s="79"/>
      <c r="O205" s="23"/>
      <c r="P205" s="23" t="s">
        <v>8</v>
      </c>
    </row>
    <row r="206" ht="15.75" customHeight="1">
      <c r="D206" s="6" t="s">
        <v>34</v>
      </c>
      <c r="E206" s="6"/>
      <c r="F206" s="6"/>
      <c r="G206" s="6"/>
      <c r="P206" s="23" t="s">
        <v>9</v>
      </c>
    </row>
    <row r="207" ht="15.75" customHeight="1">
      <c r="B207" s="6"/>
      <c r="D207" s="6" t="s">
        <v>37</v>
      </c>
      <c r="E207" s="6"/>
      <c r="F207" s="6"/>
      <c r="G207" s="6"/>
      <c r="P207" s="23" t="s">
        <v>10</v>
      </c>
    </row>
    <row r="208" ht="15.75" customHeight="1">
      <c r="D208" s="6" t="s">
        <v>40</v>
      </c>
      <c r="E208" s="6"/>
      <c r="F208" s="6"/>
      <c r="G208" s="6"/>
      <c r="P208" s="23" t="s">
        <v>108</v>
      </c>
    </row>
    <row r="209" ht="15.75" customHeight="1">
      <c r="D209" s="6" t="s">
        <v>181</v>
      </c>
      <c r="E209" s="6"/>
      <c r="F209" s="6"/>
      <c r="G209" s="6"/>
    </row>
    <row r="210" ht="15.75" customHeight="1">
      <c r="D210" s="6" t="s">
        <v>16</v>
      </c>
      <c r="E210" s="6"/>
      <c r="F210" s="6"/>
      <c r="G210" s="6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1:$K$199">
    <sortState ref="A1:K199">
      <sortCondition ref="C1:C199"/>
      <sortCondition ref="A1:A199"/>
    </sortState>
  </autoFilter>
  <mergeCells count="3">
    <mergeCell ref="V34:Z34"/>
    <mergeCell ref="V45:Z45"/>
    <mergeCell ref="V53:Z53"/>
  </mergeCells>
  <dataValidations>
    <dataValidation type="list" allowBlank="1" showErrorMessage="1" sqref="C2:C200 O26:O200 C204:C205 O204:O205 B207">
      <formula1>"EFECTIVO,TRANSFERENCIA"</formula1>
    </dataValidation>
    <dataValidation type="list" allowBlank="1" sqref="Q26:Q200">
      <formula1>"FIJOS MENSUALES,JUDICIALES,EXTRAS"</formula1>
    </dataValidation>
    <dataValidation type="list" allowBlank="1" showErrorMessage="1" sqref="E2:E200 E204:E210">
      <formula1>"CAMPAÑA,DERIVADO"</formula1>
    </dataValidation>
    <dataValidation type="list" allowBlank="1" showErrorMessage="1" sqref="P26:P200 P204:P208">
      <formula1>"RODRI,NOE,ALE,FABRI,CJ NOA"</formula1>
    </dataValidation>
    <dataValidation type="list" allowBlank="1" showErrorMessage="1" sqref="F2:F200 F204:F210">
      <formula1>"NUEVO,VIEJO"</formula1>
    </dataValidation>
    <dataValidation type="list" allowBlank="1" showErrorMessage="1" sqref="D2:D200 D204:D210">
      <formula1>"SUCESORIO,REALES,JUBILACIONES,UCAP,CREDITOS,DIVORCIO,OTROS"</formula1>
    </dataValidation>
    <dataValidation type="list" allowBlank="1" showErrorMessage="1" sqref="G2:G200 G204:G210">
      <formula1>"CONSULTA,HONORARIOS"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0.86"/>
    <col customWidth="1" min="3" max="3" width="21.71"/>
    <col customWidth="1" min="4" max="4" width="18.43"/>
    <col customWidth="1" min="5" max="5" width="16.43"/>
    <col customWidth="1" min="6" max="6" width="15.14"/>
    <col customWidth="1" min="7" max="7" width="15.71"/>
    <col customWidth="1" min="8" max="8" width="13.57"/>
    <col customWidth="1" min="9" max="9" width="11.71"/>
    <col customWidth="1" min="10" max="10" width="11.0"/>
    <col customWidth="1" min="11" max="11" width="11.57"/>
    <col customWidth="1" min="12" max="12" width="26.71"/>
    <col customWidth="1" min="13" max="13" width="20.29"/>
    <col customWidth="1" min="14" max="14" width="27.86"/>
    <col customWidth="1" min="15" max="15" width="22.71"/>
    <col customWidth="1" min="16" max="16" width="30.14"/>
    <col customWidth="1" min="17" max="17" width="28.29"/>
    <col customWidth="1" min="18" max="19" width="26.14"/>
    <col customWidth="1" min="20" max="20" width="22.0"/>
    <col customWidth="1" min="22" max="22" width="20.43"/>
    <col customWidth="1" min="23" max="23" width="18.29"/>
    <col customWidth="1" min="25" max="25" width="1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7</v>
      </c>
      <c r="N1" s="2" t="s">
        <v>8</v>
      </c>
      <c r="O1" s="2" t="s">
        <v>9</v>
      </c>
      <c r="P1" s="2" t="s">
        <v>10</v>
      </c>
      <c r="R1" s="3" t="s">
        <v>11</v>
      </c>
      <c r="S1" s="3" t="s">
        <v>12</v>
      </c>
      <c r="T1" s="4"/>
      <c r="V1" s="5" t="s">
        <v>13</v>
      </c>
      <c r="W1" s="5">
        <f>M18</f>
        <v>49</v>
      </c>
      <c r="X1" s="6"/>
      <c r="Y1" s="6"/>
      <c r="Z1" s="6"/>
    </row>
    <row r="2">
      <c r="A2" s="80">
        <v>46071.0</v>
      </c>
      <c r="B2" s="8" t="s">
        <v>182</v>
      </c>
      <c r="C2" s="9" t="s">
        <v>15</v>
      </c>
      <c r="D2" s="6" t="s">
        <v>16</v>
      </c>
      <c r="E2" s="6" t="s">
        <v>55</v>
      </c>
      <c r="F2" s="6" t="s">
        <v>18</v>
      </c>
      <c r="G2" s="6" t="s">
        <v>19</v>
      </c>
      <c r="H2" s="8"/>
      <c r="I2" s="8"/>
      <c r="J2" s="8"/>
      <c r="K2" s="8">
        <v>20000.0</v>
      </c>
      <c r="M2" s="10">
        <f t="shared" ref="M2:P2" si="1">SUM(H2:H198)</f>
        <v>4574800</v>
      </c>
      <c r="N2" s="10">
        <f t="shared" si="1"/>
        <v>2426300</v>
      </c>
      <c r="O2" s="10">
        <f t="shared" si="1"/>
        <v>1389800</v>
      </c>
      <c r="P2" s="10">
        <f t="shared" si="1"/>
        <v>1389800</v>
      </c>
      <c r="R2" s="11">
        <f t="shared" ref="R2:S2" si="2">SUM(R25:R199)</f>
        <v>2246875</v>
      </c>
      <c r="S2" s="12">
        <f t="shared" si="2"/>
        <v>4111275</v>
      </c>
      <c r="V2" s="6"/>
      <c r="W2" s="13" t="s">
        <v>20</v>
      </c>
      <c r="X2" s="13" t="s">
        <v>8</v>
      </c>
      <c r="Y2" s="13" t="s">
        <v>9</v>
      </c>
      <c r="Z2" s="13" t="s">
        <v>10</v>
      </c>
      <c r="AA2" s="5" t="s">
        <v>21</v>
      </c>
      <c r="AB2" s="14" t="s">
        <v>22</v>
      </c>
      <c r="AC2" s="14"/>
      <c r="AD2" s="14"/>
      <c r="AE2" s="14"/>
      <c r="AF2" s="14"/>
    </row>
    <row r="3">
      <c r="A3" s="80">
        <v>46072.0</v>
      </c>
      <c r="B3" s="8" t="s">
        <v>183</v>
      </c>
      <c r="C3" s="9" t="s">
        <v>27</v>
      </c>
      <c r="D3" s="6" t="s">
        <v>28</v>
      </c>
      <c r="E3" s="6" t="s">
        <v>55</v>
      </c>
      <c r="F3" s="6" t="s">
        <v>45</v>
      </c>
      <c r="G3" s="6" t="s">
        <v>46</v>
      </c>
      <c r="H3" s="8">
        <v>80000.0</v>
      </c>
      <c r="I3" s="8"/>
      <c r="J3" s="8"/>
      <c r="K3" s="8"/>
      <c r="L3" s="15" t="s">
        <v>25</v>
      </c>
      <c r="M3" s="16">
        <f t="shared" ref="M3:P3" si="3">M2/$N$11</f>
        <v>1.219946667</v>
      </c>
      <c r="N3" s="16">
        <f t="shared" si="3"/>
        <v>0.6470133333</v>
      </c>
      <c r="O3" s="16">
        <f t="shared" si="3"/>
        <v>0.3706133333</v>
      </c>
      <c r="P3" s="16">
        <f t="shared" si="3"/>
        <v>0.3706133333</v>
      </c>
      <c r="V3" s="13" t="s">
        <v>24</v>
      </c>
      <c r="W3" s="6">
        <f>COUNTIFS(D2:D199,D203,H2:H199,"&gt;1")</f>
        <v>1</v>
      </c>
      <c r="X3" s="6">
        <f>COUNTIFS(D2:D199,D203,I2:I199,"&gt;1")</f>
        <v>0</v>
      </c>
      <c r="Y3" s="6">
        <f>COUNTIFS(D2:D199,D203,J2:J199,"&gt;1")</f>
        <v>0</v>
      </c>
      <c r="Z3" s="6">
        <f>COUNTIFS(D2:D199,D203,K2:K199,"&gt;1")</f>
        <v>0</v>
      </c>
      <c r="AA3" s="13">
        <f t="shared" ref="AA3:AA9" si="4">SUM(W3:Z3)</f>
        <v>1</v>
      </c>
      <c r="AB3" s="17">
        <f t="shared" ref="AB3:AB9" si="5">AA3/$W$1</f>
        <v>0.02040816327</v>
      </c>
      <c r="AC3" s="17"/>
      <c r="AD3" s="17"/>
      <c r="AE3" s="17"/>
      <c r="AF3" s="17"/>
    </row>
    <row r="4" ht="21.75" customHeight="1">
      <c r="A4" s="80">
        <v>46073.0</v>
      </c>
      <c r="B4" s="8" t="s">
        <v>184</v>
      </c>
      <c r="C4" s="9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8">
        <v>400000.0</v>
      </c>
      <c r="I4" s="8"/>
      <c r="J4" s="8"/>
      <c r="K4" s="8"/>
      <c r="L4" s="15" t="s">
        <v>29</v>
      </c>
      <c r="M4" s="16">
        <f>M2/($O$5-L11)</f>
        <v>0.467737483</v>
      </c>
      <c r="N4" s="16">
        <f>N2/($O$5-L11)</f>
        <v>0.248070179</v>
      </c>
      <c r="O4" s="16">
        <f>O2/($O$5-L11)</f>
        <v>0.142096169</v>
      </c>
      <c r="P4" s="16">
        <f>P2/($O$5-L11)</f>
        <v>0.142096169</v>
      </c>
      <c r="R4" s="20" t="s">
        <v>30</v>
      </c>
      <c r="S4" s="21">
        <f>SUM(R2+S2+T2)</f>
        <v>6358150</v>
      </c>
      <c r="V4" s="13" t="s">
        <v>28</v>
      </c>
      <c r="W4" s="6">
        <f>COUNTIFS(D2:D199,D204,H2:H199,"&gt;1")</f>
        <v>3</v>
      </c>
      <c r="X4" s="6">
        <f>COUNTIFS(D2:D199,D204,I2:I199,"&gt;1")</f>
        <v>4</v>
      </c>
      <c r="Y4" s="6">
        <f>COUNTIFS(D2:D199,D204,J2:J199,"&gt;1")</f>
        <v>1</v>
      </c>
      <c r="Z4" s="6">
        <f>COUNTIFS(D2:D199,D204,K2:K199,"&gt;1")</f>
        <v>0</v>
      </c>
      <c r="AA4" s="13">
        <f t="shared" si="4"/>
        <v>8</v>
      </c>
      <c r="AB4" s="17">
        <f t="shared" si="5"/>
        <v>0.1632653061</v>
      </c>
      <c r="AC4" s="17"/>
      <c r="AD4" s="17"/>
      <c r="AE4" s="17"/>
      <c r="AF4" s="17"/>
    </row>
    <row r="5">
      <c r="A5" s="80">
        <v>46076.0</v>
      </c>
      <c r="B5" s="9" t="s">
        <v>185</v>
      </c>
      <c r="C5" s="9" t="s">
        <v>27</v>
      </c>
      <c r="D5" s="6" t="s">
        <v>34</v>
      </c>
      <c r="E5" s="6" t="s">
        <v>17</v>
      </c>
      <c r="F5" s="6" t="s">
        <v>18</v>
      </c>
      <c r="G5" s="6" t="s">
        <v>19</v>
      </c>
      <c r="H5" s="8"/>
      <c r="I5" s="8"/>
      <c r="J5" s="8"/>
      <c r="K5" s="8">
        <v>350000.0</v>
      </c>
      <c r="N5" s="26" t="s">
        <v>35</v>
      </c>
      <c r="O5" s="21">
        <f>SUM(M2:N2:O2:P2)+L11</f>
        <v>9780700</v>
      </c>
      <c r="S5" s="16">
        <f>S4/$O$5</f>
        <v>0.6500710583</v>
      </c>
      <c r="V5" s="13" t="s">
        <v>34</v>
      </c>
      <c r="W5" s="6">
        <f>COUNTIFS(D2:D199,D205,H2:H199,"&gt;1")</f>
        <v>1</v>
      </c>
      <c r="X5" s="6">
        <f>COUNTIFS(D2:D199,D205,I2:I199,"&gt;1")</f>
        <v>1</v>
      </c>
      <c r="Y5" s="6">
        <f>COUNTIFS(D2:D199,D205,J2:J199,"&gt;1")</f>
        <v>0</v>
      </c>
      <c r="Z5" s="6">
        <f>COUNTIFS(D2:D199,D205,K2:K199,"&gt;1")</f>
        <v>2</v>
      </c>
      <c r="AA5" s="13">
        <f t="shared" si="4"/>
        <v>4</v>
      </c>
      <c r="AB5" s="17">
        <f t="shared" si="5"/>
        <v>0.08163265306</v>
      </c>
      <c r="AC5" s="17"/>
      <c r="AD5" s="17"/>
      <c r="AE5" s="17"/>
      <c r="AF5" s="17"/>
    </row>
    <row r="6">
      <c r="A6" s="80">
        <v>46076.0</v>
      </c>
      <c r="B6" s="8" t="s">
        <v>186</v>
      </c>
      <c r="C6" s="9" t="s">
        <v>15</v>
      </c>
      <c r="D6" s="6" t="s">
        <v>16</v>
      </c>
      <c r="E6" s="6" t="s">
        <v>17</v>
      </c>
      <c r="F6" s="6" t="s">
        <v>45</v>
      </c>
      <c r="G6" s="6" t="s">
        <v>46</v>
      </c>
      <c r="H6" s="6"/>
      <c r="I6" s="8"/>
      <c r="J6" s="8">
        <v>50000.0</v>
      </c>
      <c r="K6" s="8"/>
      <c r="O6" s="16">
        <f>O5/$O$11</f>
        <v>0.6520466667</v>
      </c>
      <c r="V6" s="13" t="s">
        <v>37</v>
      </c>
      <c r="W6" s="6">
        <f>COUNTIFS(D2:D199,D206,H2:H199,"&gt;1")</f>
        <v>2</v>
      </c>
      <c r="X6" s="6">
        <f>COUNTIFS(D2:D199,D206,I2:I199,"&gt;1")</f>
        <v>1</v>
      </c>
      <c r="Y6" s="6">
        <f>COUNTIFS(D2:D199,D206,J2:J199,"&gt;1")</f>
        <v>0</v>
      </c>
      <c r="Z6" s="6">
        <f>COUNTIFS(D2:D199,D206,K2:K199,"&gt;1")</f>
        <v>5</v>
      </c>
      <c r="AA6" s="13">
        <f t="shared" si="4"/>
        <v>8</v>
      </c>
      <c r="AB6" s="17">
        <f t="shared" si="5"/>
        <v>0.1632653061</v>
      </c>
      <c r="AC6" s="17"/>
      <c r="AD6" s="17"/>
      <c r="AE6" s="17"/>
      <c r="AF6" s="17"/>
    </row>
    <row r="7">
      <c r="A7" s="80">
        <v>46076.0</v>
      </c>
      <c r="B7" s="8" t="s">
        <v>187</v>
      </c>
      <c r="C7" s="9" t="s">
        <v>15</v>
      </c>
      <c r="D7" s="6" t="s">
        <v>16</v>
      </c>
      <c r="E7" s="6" t="s">
        <v>55</v>
      </c>
      <c r="F7" s="6" t="s">
        <v>18</v>
      </c>
      <c r="G7" s="6" t="s">
        <v>19</v>
      </c>
      <c r="H7" s="8">
        <v>180000.0</v>
      </c>
      <c r="I7" s="8"/>
      <c r="J7" s="8"/>
      <c r="K7" s="8"/>
      <c r="P7" s="26" t="s">
        <v>39</v>
      </c>
      <c r="Q7" s="21">
        <f>O5-S4</f>
        <v>3422550</v>
      </c>
      <c r="R7" s="16">
        <f>Q7/$O$5</f>
        <v>0.3499289417</v>
      </c>
      <c r="V7" s="13" t="s">
        <v>40</v>
      </c>
      <c r="W7" s="6">
        <f>COUNTIFS(D2:D199,D207,H2:H199,"&gt;1")</f>
        <v>0</v>
      </c>
      <c r="X7" s="6">
        <f>COUNTIFS(D2:D199,D207,I2:I199,"&gt;1")</f>
        <v>0</v>
      </c>
      <c r="Y7" s="6">
        <f>COUNTIFS(D2:D199,D207,J2:J199,"&gt;1")</f>
        <v>0</v>
      </c>
      <c r="Z7" s="6">
        <f>COUNTIFS(D2:D199,D207,K2:K199,"&gt;1")</f>
        <v>0</v>
      </c>
      <c r="AA7" s="13">
        <f t="shared" si="4"/>
        <v>0</v>
      </c>
      <c r="AB7" s="17">
        <f t="shared" si="5"/>
        <v>0</v>
      </c>
      <c r="AC7" s="17"/>
      <c r="AD7" s="17"/>
      <c r="AE7" s="17"/>
      <c r="AF7" s="17"/>
    </row>
    <row r="8">
      <c r="A8" s="80">
        <v>46076.0</v>
      </c>
      <c r="B8" s="8" t="s">
        <v>188</v>
      </c>
      <c r="C8" s="9" t="s">
        <v>15</v>
      </c>
      <c r="D8" s="6" t="s">
        <v>16</v>
      </c>
      <c r="E8" s="6" t="s">
        <v>55</v>
      </c>
      <c r="F8" s="6" t="s">
        <v>45</v>
      </c>
      <c r="G8" s="6" t="s">
        <v>19</v>
      </c>
      <c r="H8" s="8">
        <v>39800.0</v>
      </c>
      <c r="I8" s="8"/>
      <c r="J8" s="8"/>
      <c r="K8" s="8"/>
      <c r="P8" s="26" t="s">
        <v>42</v>
      </c>
      <c r="Q8" s="21">
        <f>Q7/4</f>
        <v>855637.5</v>
      </c>
      <c r="V8" s="13" t="s">
        <v>43</v>
      </c>
      <c r="W8" s="6">
        <f>COUNTIFS(D2:D199,D208,H2:H199,"&gt;1")</f>
        <v>0</v>
      </c>
      <c r="X8" s="6">
        <f>COUNTIFS(D2:D199,D208,I2:I199,"&gt;1")</f>
        <v>0</v>
      </c>
      <c r="Y8" s="6">
        <f>COUNTIFS(D2:D199,D208,J2:J199,"&gt;1")</f>
        <v>0</v>
      </c>
      <c r="Z8" s="6">
        <f>COUNTIFS(D2:D199,D208,K2:K199,"&gt;1")</f>
        <v>0</v>
      </c>
      <c r="AA8" s="13">
        <f t="shared" si="4"/>
        <v>0</v>
      </c>
      <c r="AB8" s="17">
        <f t="shared" si="5"/>
        <v>0</v>
      </c>
      <c r="AC8" s="17"/>
      <c r="AD8" s="17"/>
      <c r="AE8" s="17"/>
      <c r="AF8" s="17"/>
    </row>
    <row r="9">
      <c r="A9" s="80">
        <v>46076.0</v>
      </c>
      <c r="B9" s="81" t="s">
        <v>189</v>
      </c>
      <c r="C9" s="9" t="s">
        <v>15</v>
      </c>
      <c r="D9" s="6" t="s">
        <v>16</v>
      </c>
      <c r="E9" s="6" t="s">
        <v>55</v>
      </c>
      <c r="F9" s="6" t="s">
        <v>45</v>
      </c>
      <c r="G9" s="6" t="s">
        <v>19</v>
      </c>
      <c r="H9" s="8"/>
      <c r="I9" s="8"/>
      <c r="J9" s="8"/>
      <c r="K9" s="81">
        <v>39800.0</v>
      </c>
      <c r="V9" s="13" t="s">
        <v>16</v>
      </c>
      <c r="W9" s="6">
        <f>COUNTIFS(D2:D199,D209,H2:H199,"&gt;1")</f>
        <v>14</v>
      </c>
      <c r="X9" s="6">
        <f>COUNTIFS(D2:D199,D209,I2:I199,"&gt;1")</f>
        <v>4</v>
      </c>
      <c r="Y9" s="6">
        <f>COUNTIFS(D2:D199,D209,J2:J199,"&gt;1")</f>
        <v>7</v>
      </c>
      <c r="Z9" s="6">
        <f>COUNTIFS(D2:D199,D209,K2:K199,"&gt;1")</f>
        <v>3</v>
      </c>
      <c r="AA9" s="13">
        <f t="shared" si="4"/>
        <v>28</v>
      </c>
      <c r="AB9" s="17">
        <f t="shared" si="5"/>
        <v>0.5714285714</v>
      </c>
      <c r="AC9" s="17"/>
      <c r="AD9" s="17"/>
      <c r="AE9" s="17"/>
      <c r="AF9" s="17"/>
    </row>
    <row r="10" ht="29.25" customHeight="1">
      <c r="A10" s="80">
        <v>46077.0</v>
      </c>
      <c r="B10" s="8" t="s">
        <v>190</v>
      </c>
      <c r="C10" s="9" t="s">
        <v>15</v>
      </c>
      <c r="D10" s="6" t="s">
        <v>16</v>
      </c>
      <c r="E10" s="6" t="s">
        <v>55</v>
      </c>
      <c r="F10" s="6" t="s">
        <v>18</v>
      </c>
      <c r="G10" s="6" t="s">
        <v>19</v>
      </c>
      <c r="H10" s="8">
        <v>40000.0</v>
      </c>
      <c r="I10" s="8"/>
      <c r="J10" s="8"/>
      <c r="K10" s="8"/>
      <c r="L10" s="29" t="s">
        <v>191</v>
      </c>
      <c r="N10" s="30" t="s">
        <v>25</v>
      </c>
      <c r="O10" s="30" t="s">
        <v>49</v>
      </c>
      <c r="R10" s="30" t="s">
        <v>50</v>
      </c>
      <c r="S10" s="30" t="s">
        <v>51</v>
      </c>
      <c r="T10" s="31" t="s">
        <v>192</v>
      </c>
      <c r="U10" s="31" t="s">
        <v>53</v>
      </c>
      <c r="V10" s="23"/>
    </row>
    <row r="11">
      <c r="A11" s="80">
        <v>46077.0</v>
      </c>
      <c r="B11" s="81" t="s">
        <v>189</v>
      </c>
      <c r="C11" s="9" t="s">
        <v>15</v>
      </c>
      <c r="D11" s="6" t="s">
        <v>16</v>
      </c>
      <c r="E11" s="6" t="s">
        <v>55</v>
      </c>
      <c r="F11" s="6" t="s">
        <v>45</v>
      </c>
      <c r="G11" s="6" t="s">
        <v>19</v>
      </c>
      <c r="H11" s="8"/>
      <c r="I11" s="81">
        <v>19800.0</v>
      </c>
      <c r="J11" s="8"/>
      <c r="K11" s="8"/>
      <c r="L11" s="13"/>
      <c r="N11" s="13">
        <v>3750000.0</v>
      </c>
      <c r="O11" s="13">
        <v>1.5E7</v>
      </c>
      <c r="R11" s="13" t="s">
        <v>20</v>
      </c>
      <c r="S11" s="13">
        <f>O14-T26</f>
        <v>410225</v>
      </c>
      <c r="T11" s="31">
        <f>S11+K9+I11+J16+I20+20000+I47</f>
        <v>1005170</v>
      </c>
      <c r="U11" s="32">
        <f t="shared" ref="U11:U14" si="6">T11-T19</f>
        <v>-111293.5979</v>
      </c>
      <c r="V11" s="13" t="s">
        <v>55</v>
      </c>
      <c r="W11" s="6">
        <f>COUNTIFS(E2:E199,E203,H2:H199,"&gt;1")</f>
        <v>8</v>
      </c>
      <c r="X11" s="6">
        <f>COUNTIFS(E2:E199,E203,I2:I199,"&gt;1")</f>
        <v>2</v>
      </c>
      <c r="Y11" s="6">
        <f>COUNTIFS(E2:E199,E203,J2:J199,"&gt;1")</f>
        <v>0</v>
      </c>
      <c r="Z11" s="6">
        <f>COUNTIFS(E2:E199,E203,K2:K199,"&gt;1")</f>
        <v>4</v>
      </c>
      <c r="AA11" s="13">
        <f t="shared" ref="AA11:AA12" si="7">SUM(W11:Z11)</f>
        <v>14</v>
      </c>
      <c r="AB11" s="17">
        <f t="shared" ref="AB11:AB12" si="8">AA11/$W$1</f>
        <v>0.2857142857</v>
      </c>
      <c r="AC11" s="17"/>
      <c r="AD11" s="17"/>
      <c r="AE11" s="17"/>
      <c r="AF11" s="17"/>
    </row>
    <row r="12">
      <c r="A12" s="80">
        <v>46077.0</v>
      </c>
      <c r="B12" s="8" t="s">
        <v>193</v>
      </c>
      <c r="C12" s="9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8">
        <v>200000.0</v>
      </c>
      <c r="I12" s="8"/>
      <c r="J12" s="8"/>
      <c r="K12" s="8"/>
      <c r="L12" s="23" t="s">
        <v>173</v>
      </c>
      <c r="R12" s="13" t="s">
        <v>8</v>
      </c>
      <c r="S12" s="13">
        <f>O15-T28</f>
        <v>1336300</v>
      </c>
      <c r="T12" s="31">
        <f>S12-I11-I20-I47</f>
        <v>820955</v>
      </c>
      <c r="U12" s="32">
        <f t="shared" si="6"/>
        <v>-32370.78193</v>
      </c>
      <c r="V12" s="13" t="s">
        <v>17</v>
      </c>
      <c r="W12" s="6">
        <f>COUNTIFS(E2:E199,E204,H2:H199,"&gt;1")</f>
        <v>13</v>
      </c>
      <c r="X12" s="6">
        <f>COUNTIFS(E2:E199,E204,I2:I199,"&gt;1")</f>
        <v>8</v>
      </c>
      <c r="Y12" s="6">
        <f>COUNTIFS(E2:E199,E204,J2:J199,"&gt;1")</f>
        <v>8</v>
      </c>
      <c r="Z12" s="6">
        <f>COUNTIFS(E2:E199,E204,K2:K199,"&gt;1")</f>
        <v>6</v>
      </c>
      <c r="AA12" s="13">
        <f t="shared" si="7"/>
        <v>35</v>
      </c>
      <c r="AB12" s="17">
        <f t="shared" si="8"/>
        <v>0.7142857143</v>
      </c>
      <c r="AC12" s="17"/>
      <c r="AD12" s="17"/>
      <c r="AE12" s="17"/>
      <c r="AF12" s="17"/>
    </row>
    <row r="13">
      <c r="A13" s="80">
        <v>46077.0</v>
      </c>
      <c r="B13" s="8" t="s">
        <v>194</v>
      </c>
      <c r="C13" s="9" t="s">
        <v>15</v>
      </c>
      <c r="D13" s="6" t="s">
        <v>16</v>
      </c>
      <c r="E13" s="6" t="s">
        <v>17</v>
      </c>
      <c r="F13" s="6" t="s">
        <v>45</v>
      </c>
      <c r="G13" s="6" t="s">
        <v>19</v>
      </c>
      <c r="H13" s="8"/>
      <c r="I13" s="8"/>
      <c r="J13" s="8">
        <v>200000.0</v>
      </c>
      <c r="K13" s="8"/>
      <c r="M13" s="30" t="s">
        <v>59</v>
      </c>
      <c r="N13" s="33" t="s">
        <v>60</v>
      </c>
      <c r="O13" s="33" t="s">
        <v>61</v>
      </c>
      <c r="P13" s="34" t="s">
        <v>62</v>
      </c>
      <c r="R13" s="13" t="s">
        <v>9</v>
      </c>
      <c r="S13" s="13">
        <f>O16-T30</f>
        <v>483800</v>
      </c>
      <c r="T13" s="31">
        <f>S13-J16+K23</f>
        <v>764000</v>
      </c>
      <c r="U13" s="32">
        <f t="shared" si="6"/>
        <v>37619.68989</v>
      </c>
    </row>
    <row r="14">
      <c r="A14" s="80">
        <v>46077.0</v>
      </c>
      <c r="B14" s="9" t="s">
        <v>195</v>
      </c>
      <c r="C14" s="9" t="s">
        <v>27</v>
      </c>
      <c r="D14" s="6" t="s">
        <v>16</v>
      </c>
      <c r="E14" s="6" t="s">
        <v>17</v>
      </c>
      <c r="F14" s="6" t="s">
        <v>18</v>
      </c>
      <c r="G14" s="6" t="s">
        <v>19</v>
      </c>
      <c r="H14" s="8">
        <v>500000.0</v>
      </c>
      <c r="I14" s="8"/>
      <c r="J14" s="8"/>
      <c r="K14" s="8"/>
      <c r="M14" s="13">
        <f>COUNT(H2:H199)</f>
        <v>21</v>
      </c>
      <c r="N14" s="35" t="s">
        <v>20</v>
      </c>
      <c r="O14" s="6">
        <f>SUMIF(C2:C199,C203,H2:H199)</f>
        <v>3834800</v>
      </c>
      <c r="P14" s="6">
        <f>SUMIF(C2:C199,C204,H2:H199)</f>
        <v>740000</v>
      </c>
      <c r="R14" s="13" t="s">
        <v>10</v>
      </c>
      <c r="S14" s="13">
        <f>O17-T32</f>
        <v>580100</v>
      </c>
      <c r="T14" s="31">
        <f>S14-K9-K23-20000</f>
        <v>220300</v>
      </c>
      <c r="U14" s="32">
        <f t="shared" si="6"/>
        <v>-506080.3101</v>
      </c>
      <c r="V14" s="13" t="s">
        <v>45</v>
      </c>
      <c r="W14" s="6">
        <f>COUNTIFS(F2:F199,F203,H2:H199,"&gt;1")</f>
        <v>7</v>
      </c>
      <c r="X14" s="6">
        <f>COUNTIFS(F2:F199,F203,I2:I199,"&gt;1")</f>
        <v>4</v>
      </c>
      <c r="Y14" s="6">
        <f>COUNTIFS(F2:F199,F203,J2:J199,"&gt;1")</f>
        <v>4</v>
      </c>
      <c r="Z14" s="6">
        <f>COUNTIFS(F2:F199,F203,K2:K199,"&gt;1")</f>
        <v>8</v>
      </c>
      <c r="AA14" s="13">
        <f t="shared" ref="AA14:AA15" si="9">SUM(W14:Z14)</f>
        <v>23</v>
      </c>
      <c r="AB14" s="17">
        <f t="shared" ref="AB14:AB15" si="10">AA14/$W$1</f>
        <v>0.4693877551</v>
      </c>
      <c r="AC14" s="17"/>
      <c r="AD14" s="17"/>
      <c r="AE14" s="17"/>
      <c r="AF14" s="17"/>
    </row>
    <row r="15">
      <c r="A15" s="80">
        <v>46077.0</v>
      </c>
      <c r="B15" s="9" t="s">
        <v>23</v>
      </c>
      <c r="C15" s="9" t="s">
        <v>15</v>
      </c>
      <c r="D15" s="6" t="s">
        <v>16</v>
      </c>
      <c r="E15" s="6" t="s">
        <v>17</v>
      </c>
      <c r="F15" s="6" t="s">
        <v>18</v>
      </c>
      <c r="G15" s="6" t="s">
        <v>19</v>
      </c>
      <c r="H15" s="8">
        <v>100000.0</v>
      </c>
      <c r="I15" s="8"/>
      <c r="J15" s="8"/>
      <c r="K15" s="8"/>
      <c r="M15" s="13">
        <f>COUNT(I2:I199)</f>
        <v>10</v>
      </c>
      <c r="N15" s="35" t="s">
        <v>8</v>
      </c>
      <c r="O15" s="6">
        <f>SUMIF(C2:C199,C203,I2:I199)</f>
        <v>1836300</v>
      </c>
      <c r="P15" s="6">
        <f>SUMIF(C2:C199,C204,I2:I199)</f>
        <v>590000</v>
      </c>
      <c r="T15" s="31" t="s">
        <v>65</v>
      </c>
      <c r="V15" s="13" t="s">
        <v>18</v>
      </c>
      <c r="W15" s="6">
        <f>COUNTIFS(F2:F199,F204,H2:H199,"&gt;1")</f>
        <v>14</v>
      </c>
      <c r="X15" s="6">
        <f>COUNTIFS(F2:F199,F204,I2:I199,"&gt;1")</f>
        <v>6</v>
      </c>
      <c r="Y15" s="6">
        <f>COUNTIFS(F2:F199,F204,J2:J199,"&gt;1")</f>
        <v>4</v>
      </c>
      <c r="Z15" s="6">
        <f>COUNTIFS(F2:F199,F204,K2:K199,"&gt;1")</f>
        <v>2</v>
      </c>
      <c r="AA15" s="13">
        <f t="shared" si="9"/>
        <v>26</v>
      </c>
      <c r="AB15" s="17">
        <f t="shared" si="10"/>
        <v>0.5306122449</v>
      </c>
      <c r="AC15" s="17"/>
      <c r="AD15" s="17"/>
      <c r="AE15" s="17"/>
      <c r="AF15" s="17"/>
    </row>
    <row r="16">
      <c r="A16" s="80">
        <v>46078.0</v>
      </c>
      <c r="B16" s="81" t="s">
        <v>189</v>
      </c>
      <c r="C16" s="9" t="s">
        <v>15</v>
      </c>
      <c r="D16" s="6" t="s">
        <v>16</v>
      </c>
      <c r="E16" s="6" t="s">
        <v>17</v>
      </c>
      <c r="F16" s="6" t="s">
        <v>45</v>
      </c>
      <c r="G16" s="6" t="s">
        <v>19</v>
      </c>
      <c r="H16" s="8"/>
      <c r="I16" s="8"/>
      <c r="J16" s="81">
        <v>19800.0</v>
      </c>
      <c r="K16" s="8"/>
      <c r="M16" s="13">
        <f>COUNT(J2:J199)</f>
        <v>8</v>
      </c>
      <c r="N16" s="35" t="s">
        <v>9</v>
      </c>
      <c r="O16" s="6">
        <f>SUMIF(C2:C199,C203,J2:J199)</f>
        <v>519800</v>
      </c>
      <c r="P16" s="6">
        <f>SUMIF(C2:C199,C204,J2:J199)</f>
        <v>870000</v>
      </c>
      <c r="R16" s="30" t="s">
        <v>67</v>
      </c>
      <c r="S16" s="38">
        <f>Q7 * 0.65</f>
        <v>2224657.5</v>
      </c>
    </row>
    <row r="17">
      <c r="A17" s="80">
        <v>46079.0</v>
      </c>
      <c r="B17" s="8" t="s">
        <v>196</v>
      </c>
      <c r="C17" s="9" t="s">
        <v>27</v>
      </c>
      <c r="D17" s="6" t="s">
        <v>28</v>
      </c>
      <c r="E17" s="6" t="s">
        <v>17</v>
      </c>
      <c r="F17" s="6" t="s">
        <v>18</v>
      </c>
      <c r="G17" s="6" t="s">
        <v>19</v>
      </c>
      <c r="H17" s="8"/>
      <c r="I17" s="8">
        <v>100000.0</v>
      </c>
      <c r="J17" s="8"/>
      <c r="K17" s="8"/>
      <c r="M17" s="13">
        <f>COUNT(K2:K199)</f>
        <v>10</v>
      </c>
      <c r="N17" s="35" t="s">
        <v>69</v>
      </c>
      <c r="O17" s="6">
        <f>SUMIF(C2:C199,C203,K2:K199)</f>
        <v>719800</v>
      </c>
      <c r="P17" s="6">
        <f>SUMIF(C2:C199,C204,K2:K199)</f>
        <v>670000</v>
      </c>
      <c r="R17" s="13" t="s">
        <v>70</v>
      </c>
      <c r="S17" s="39">
        <f>S16/4</f>
        <v>556164.375</v>
      </c>
      <c r="V17" s="13" t="s">
        <v>46</v>
      </c>
      <c r="W17" s="6">
        <f>COUNTIFS(G2:G199,G203,H2:H199,"&gt;1")</f>
        <v>3</v>
      </c>
      <c r="X17" s="6">
        <f>COUNTIFS(G2:G199,G203,I2:I199,"&gt;1")</f>
        <v>0</v>
      </c>
      <c r="Y17" s="6">
        <f>COUNTIFS(G2:G199,G203,J2:J199,"&gt;1")</f>
        <v>2</v>
      </c>
      <c r="Z17" s="6">
        <f>COUNTIFS(G2:G199,G203,K2:K199,"&gt;1")</f>
        <v>4</v>
      </c>
      <c r="AA17" s="13">
        <f t="shared" ref="AA17:AA18" si="11">SUM(W17:Z17)</f>
        <v>9</v>
      </c>
      <c r="AB17" s="17">
        <f t="shared" ref="AB17:AB18" si="12">AA17/$W$1</f>
        <v>0.1836734694</v>
      </c>
      <c r="AC17" s="17"/>
      <c r="AD17" s="17"/>
      <c r="AE17" s="17"/>
      <c r="AF17" s="17"/>
    </row>
    <row r="18">
      <c r="A18" s="80">
        <v>46079.0</v>
      </c>
      <c r="B18" s="8" t="s">
        <v>197</v>
      </c>
      <c r="C18" s="9" t="s">
        <v>27</v>
      </c>
      <c r="D18" s="6" t="s">
        <v>28</v>
      </c>
      <c r="E18" s="6" t="s">
        <v>17</v>
      </c>
      <c r="F18" s="6" t="s">
        <v>45</v>
      </c>
      <c r="G18" s="6" t="s">
        <v>46</v>
      </c>
      <c r="H18" s="8"/>
      <c r="I18" s="8"/>
      <c r="J18" s="8">
        <v>70000.0</v>
      </c>
      <c r="K18" s="8"/>
      <c r="M18" s="31">
        <f>SUM(M14+M15+M16+M17)</f>
        <v>49</v>
      </c>
      <c r="N18" s="30" t="s">
        <v>72</v>
      </c>
      <c r="O18" s="40">
        <f>O17+O16+O14+O15</f>
        <v>6910700</v>
      </c>
      <c r="P18" s="40">
        <f>SUM(P14+P15+P16+P17)</f>
        <v>2870000</v>
      </c>
      <c r="R18" s="30" t="s">
        <v>73</v>
      </c>
      <c r="S18" s="38">
        <f>Q7 * 0.35</f>
        <v>1197892.5</v>
      </c>
      <c r="T18" s="34" t="s">
        <v>74</v>
      </c>
      <c r="V18" s="13" t="s">
        <v>19</v>
      </c>
      <c r="W18" s="6">
        <f>COUNTIFS(G2:G199,G204,H2:H199,"&gt;1")</f>
        <v>18</v>
      </c>
      <c r="X18" s="6">
        <f>COUNTIFS(G2:G199,G204,I2:I199,"&gt;1")</f>
        <v>10</v>
      </c>
      <c r="Y18" s="6">
        <f>COUNTIFS(G2:G199,G204,J2:J199,"&gt;1")</f>
        <v>6</v>
      </c>
      <c r="Z18" s="6">
        <f>COUNTIFS(G2:G199,G204,K2:K199,"&gt;1")</f>
        <v>6</v>
      </c>
      <c r="AA18" s="13">
        <f t="shared" si="11"/>
        <v>40</v>
      </c>
      <c r="AB18" s="17">
        <f t="shared" si="12"/>
        <v>0.8163265306</v>
      </c>
      <c r="AC18" s="17"/>
      <c r="AD18" s="17"/>
      <c r="AE18" s="17"/>
      <c r="AF18" s="17"/>
    </row>
    <row r="19">
      <c r="A19" s="80">
        <v>46079.0</v>
      </c>
      <c r="B19" s="8" t="s">
        <v>198</v>
      </c>
      <c r="C19" s="9" t="s">
        <v>15</v>
      </c>
      <c r="D19" s="6" t="s">
        <v>37</v>
      </c>
      <c r="E19" s="6" t="s">
        <v>17</v>
      </c>
      <c r="F19" s="6" t="s">
        <v>45</v>
      </c>
      <c r="G19" s="6" t="s">
        <v>46</v>
      </c>
      <c r="H19" s="8"/>
      <c r="I19" s="8"/>
      <c r="J19" s="8"/>
      <c r="K19" s="8">
        <v>10000.0</v>
      </c>
      <c r="P19" s="30" t="s">
        <v>76</v>
      </c>
      <c r="R19" s="13" t="s">
        <v>20</v>
      </c>
      <c r="S19" s="39">
        <f>S18*M4</f>
        <v>560299.2229</v>
      </c>
      <c r="T19" s="41">
        <f>S17+S19</f>
        <v>1116463.598</v>
      </c>
    </row>
    <row r="20" ht="15.75" customHeight="1">
      <c r="A20" s="80">
        <v>46079.0</v>
      </c>
      <c r="B20" s="81" t="s">
        <v>199</v>
      </c>
      <c r="C20" s="9" t="s">
        <v>15</v>
      </c>
      <c r="D20" s="6" t="s">
        <v>16</v>
      </c>
      <c r="E20" s="6" t="s">
        <v>17</v>
      </c>
      <c r="F20" s="6" t="s">
        <v>45</v>
      </c>
      <c r="G20" s="6" t="s">
        <v>19</v>
      </c>
      <c r="H20" s="8"/>
      <c r="I20" s="81">
        <v>195545.0</v>
      </c>
      <c r="J20" s="8"/>
      <c r="P20" s="42">
        <f>P18+L11</f>
        <v>2870000</v>
      </c>
      <c r="R20" s="13" t="s">
        <v>8</v>
      </c>
      <c r="S20" s="39">
        <f>S18*N4</f>
        <v>297161.4069</v>
      </c>
      <c r="T20" s="41">
        <f>S17+S20</f>
        <v>853325.7819</v>
      </c>
      <c r="V20" s="5" t="s">
        <v>78</v>
      </c>
      <c r="W20" s="6"/>
      <c r="X20" s="6"/>
      <c r="Y20" s="6"/>
      <c r="Z20" s="6"/>
    </row>
    <row r="21" ht="15.75" customHeight="1">
      <c r="A21" s="80">
        <v>46079.0</v>
      </c>
      <c r="B21" s="82" t="s">
        <v>200</v>
      </c>
      <c r="C21" s="9" t="s">
        <v>15</v>
      </c>
      <c r="D21" s="6" t="s">
        <v>37</v>
      </c>
      <c r="E21" s="6" t="s">
        <v>55</v>
      </c>
      <c r="F21" s="6" t="s">
        <v>45</v>
      </c>
      <c r="G21" s="6" t="s">
        <v>19</v>
      </c>
      <c r="H21" s="8"/>
      <c r="I21" s="8">
        <v>604455.0</v>
      </c>
      <c r="J21" s="8"/>
      <c r="K21" s="8"/>
      <c r="N21" s="30" t="s">
        <v>80</v>
      </c>
      <c r="O21" s="43">
        <f>O18+P18</f>
        <v>9780700</v>
      </c>
      <c r="P21" s="30" t="s">
        <v>81</v>
      </c>
      <c r="R21" s="13" t="s">
        <v>9</v>
      </c>
      <c r="S21" s="39">
        <f>S18*O4</f>
        <v>170215.9351</v>
      </c>
      <c r="T21" s="41">
        <f>S17+S21</f>
        <v>726380.3101</v>
      </c>
      <c r="V21" s="13" t="s">
        <v>46</v>
      </c>
      <c r="W21" s="6">
        <f>SUMIF(G2:G199,G203,H2:H199)</f>
        <v>205000</v>
      </c>
      <c r="X21" s="6">
        <f>SUMIF(G2:G199,G203,I2:I199)</f>
        <v>0</v>
      </c>
      <c r="Y21" s="6">
        <f>SUMIF(G2:G199,G203,J2:J199)</f>
        <v>120000</v>
      </c>
      <c r="Z21" s="6">
        <f>SUMIF(G2:G199,G203,K2:K199)</f>
        <v>200000</v>
      </c>
      <c r="AA21" s="23"/>
      <c r="AB21" s="23"/>
      <c r="AC21" s="23"/>
      <c r="AD21" s="23"/>
      <c r="AE21" s="23"/>
      <c r="AF21" s="23"/>
    </row>
    <row r="22" ht="15.75" customHeight="1">
      <c r="A22" s="80">
        <v>46079.0</v>
      </c>
      <c r="B22" s="82" t="s">
        <v>201</v>
      </c>
      <c r="C22" s="9" t="s">
        <v>15</v>
      </c>
      <c r="D22" s="6" t="s">
        <v>34</v>
      </c>
      <c r="E22" s="6" t="s">
        <v>17</v>
      </c>
      <c r="F22" s="6" t="s">
        <v>45</v>
      </c>
      <c r="G22" s="6" t="s">
        <v>19</v>
      </c>
      <c r="H22" s="8"/>
      <c r="I22" s="8">
        <v>266500.0</v>
      </c>
      <c r="J22" s="8"/>
      <c r="K22" s="8"/>
      <c r="N22" s="30" t="s">
        <v>83</v>
      </c>
      <c r="O22" s="43">
        <f>O18+P18+L11</f>
        <v>9780700</v>
      </c>
      <c r="P22" s="42">
        <f>P20+L13-T34</f>
        <v>623125</v>
      </c>
      <c r="R22" s="13" t="s">
        <v>10</v>
      </c>
      <c r="S22" s="39">
        <f>S18*P4</f>
        <v>170215.9351</v>
      </c>
      <c r="T22" s="41">
        <f>S17+S22</f>
        <v>726380.3101</v>
      </c>
      <c r="V22" s="13" t="s">
        <v>19</v>
      </c>
      <c r="W22" s="6">
        <f>SUMIF(G2:G199,G204,H2:H199)</f>
        <v>4369800</v>
      </c>
      <c r="X22" s="6">
        <f>SUMIF(G2:G199,G204,I2:I199)</f>
        <v>2426300</v>
      </c>
      <c r="Y22" s="6">
        <f>SUMIF(G2:G199,G204,J2:J199)</f>
        <v>1269800</v>
      </c>
      <c r="Z22" s="6">
        <f>SUMIF(G2:G199,G204,K2:K199)</f>
        <v>1189800</v>
      </c>
      <c r="AA22" s="23"/>
      <c r="AB22" s="23"/>
      <c r="AC22" s="23"/>
      <c r="AD22" s="23"/>
      <c r="AE22" s="23"/>
      <c r="AF22" s="23"/>
    </row>
    <row r="23" ht="15.75" customHeight="1">
      <c r="A23" s="80">
        <v>46079.0</v>
      </c>
      <c r="B23" s="81" t="s">
        <v>202</v>
      </c>
      <c r="C23" s="9" t="s">
        <v>15</v>
      </c>
      <c r="D23" s="6" t="s">
        <v>37</v>
      </c>
      <c r="E23" s="6" t="s">
        <v>55</v>
      </c>
      <c r="F23" s="6" t="s">
        <v>45</v>
      </c>
      <c r="G23" s="6" t="s">
        <v>19</v>
      </c>
      <c r="H23" s="8"/>
      <c r="I23" s="8"/>
      <c r="J23" s="8"/>
      <c r="K23" s="81">
        <v>300000.0</v>
      </c>
      <c r="L23" s="23" t="s">
        <v>203</v>
      </c>
      <c r="M23" s="44"/>
      <c r="N23" s="45"/>
      <c r="O23" s="45" t="s">
        <v>85</v>
      </c>
      <c r="P23" s="45" t="s">
        <v>86</v>
      </c>
      <c r="Q23" s="45"/>
      <c r="R23" s="46"/>
      <c r="S23" s="47"/>
      <c r="V23" s="48" t="s">
        <v>21</v>
      </c>
      <c r="W23" s="48">
        <f t="shared" ref="W23:Z23" si="13">W21+W22</f>
        <v>4574800</v>
      </c>
      <c r="X23" s="48">
        <f t="shared" si="13"/>
        <v>2426300</v>
      </c>
      <c r="Y23" s="48">
        <f t="shared" si="13"/>
        <v>1389800</v>
      </c>
      <c r="Z23" s="48">
        <f t="shared" si="13"/>
        <v>1389800</v>
      </c>
      <c r="AA23" s="49"/>
      <c r="AB23" s="49"/>
      <c r="AC23" s="49"/>
      <c r="AD23" s="49"/>
      <c r="AE23" s="49"/>
      <c r="AF23" s="49"/>
    </row>
    <row r="24" ht="15.75" customHeight="1">
      <c r="A24" s="80">
        <v>46080.0</v>
      </c>
      <c r="B24" s="8" t="s">
        <v>75</v>
      </c>
      <c r="C24" s="9" t="s">
        <v>15</v>
      </c>
      <c r="D24" s="6" t="s">
        <v>16</v>
      </c>
      <c r="E24" s="6" t="s">
        <v>17</v>
      </c>
      <c r="F24" s="6" t="s">
        <v>18</v>
      </c>
      <c r="G24" s="6" t="s">
        <v>19</v>
      </c>
      <c r="H24" s="8">
        <v>150000.0</v>
      </c>
      <c r="I24" s="8"/>
      <c r="J24" s="8"/>
      <c r="K24" s="8"/>
      <c r="M24" s="50" t="s">
        <v>88</v>
      </c>
      <c r="N24" s="50" t="s">
        <v>89</v>
      </c>
      <c r="O24" s="50" t="s">
        <v>2</v>
      </c>
      <c r="P24" s="51" t="s">
        <v>90</v>
      </c>
      <c r="Q24" s="51" t="s">
        <v>91</v>
      </c>
      <c r="R24" s="51" t="s">
        <v>92</v>
      </c>
      <c r="S24" s="51" t="s">
        <v>93</v>
      </c>
    </row>
    <row r="25" ht="15.75" customHeight="1">
      <c r="A25" s="80">
        <v>46080.0</v>
      </c>
      <c r="B25" s="8" t="s">
        <v>187</v>
      </c>
      <c r="C25" s="9" t="s">
        <v>15</v>
      </c>
      <c r="D25" s="6" t="s">
        <v>16</v>
      </c>
      <c r="E25" s="6" t="s">
        <v>55</v>
      </c>
      <c r="F25" s="6" t="s">
        <v>18</v>
      </c>
      <c r="G25" s="6" t="s">
        <v>19</v>
      </c>
      <c r="H25" s="8">
        <v>320000.0</v>
      </c>
      <c r="I25" s="8"/>
      <c r="J25" s="8"/>
      <c r="K25" s="8"/>
      <c r="M25" s="52"/>
      <c r="N25" s="19" t="s">
        <v>95</v>
      </c>
      <c r="O25" s="53" t="s">
        <v>15</v>
      </c>
      <c r="P25" s="54" t="s">
        <v>20</v>
      </c>
      <c r="Q25" s="53" t="s">
        <v>96</v>
      </c>
      <c r="R25" s="53"/>
      <c r="S25" s="53">
        <v>750000.0</v>
      </c>
      <c r="T25" s="13" t="s">
        <v>97</v>
      </c>
      <c r="V25" s="55" t="s">
        <v>204</v>
      </c>
      <c r="W25" s="55" t="s">
        <v>99</v>
      </c>
    </row>
    <row r="26" ht="15.75" customHeight="1">
      <c r="A26" s="80">
        <v>46083.0</v>
      </c>
      <c r="B26" s="8" t="s">
        <v>205</v>
      </c>
      <c r="C26" s="9" t="s">
        <v>15</v>
      </c>
      <c r="D26" s="6" t="s">
        <v>16</v>
      </c>
      <c r="E26" s="6" t="s">
        <v>17</v>
      </c>
      <c r="F26" s="6" t="s">
        <v>18</v>
      </c>
      <c r="G26" s="6" t="s">
        <v>19</v>
      </c>
      <c r="H26" s="8">
        <v>300000.0</v>
      </c>
      <c r="I26" s="8"/>
      <c r="J26" s="8"/>
      <c r="K26" s="8"/>
      <c r="M26" s="52"/>
      <c r="N26" s="19" t="s">
        <v>102</v>
      </c>
      <c r="O26" s="53" t="s">
        <v>15</v>
      </c>
      <c r="P26" s="54" t="s">
        <v>8</v>
      </c>
      <c r="Q26" s="53" t="s">
        <v>96</v>
      </c>
      <c r="R26" s="53"/>
      <c r="S26" s="53">
        <v>500000.0</v>
      </c>
      <c r="T26" s="13">
        <f>SUMIF(P25:P199,P203,S25:S199)</f>
        <v>3424575</v>
      </c>
      <c r="V26" s="6">
        <f>R28+R29+R33</f>
        <v>1901615</v>
      </c>
      <c r="W26" s="6">
        <f>R30+R31+R32</f>
        <v>213260</v>
      </c>
    </row>
    <row r="27" ht="15.75" customHeight="1">
      <c r="A27" s="80">
        <v>46083.0</v>
      </c>
      <c r="B27" s="8" t="s">
        <v>206</v>
      </c>
      <c r="C27" s="9" t="s">
        <v>15</v>
      </c>
      <c r="D27" s="6" t="s">
        <v>16</v>
      </c>
      <c r="E27" s="6" t="s">
        <v>17</v>
      </c>
      <c r="F27" s="6" t="s">
        <v>45</v>
      </c>
      <c r="G27" s="6" t="s">
        <v>19</v>
      </c>
      <c r="H27" s="8">
        <v>120000.0</v>
      </c>
      <c r="I27" s="8"/>
      <c r="J27" s="8"/>
      <c r="K27" s="8"/>
      <c r="M27" s="52"/>
      <c r="N27" s="19" t="s">
        <v>104</v>
      </c>
      <c r="O27" s="53" t="s">
        <v>15</v>
      </c>
      <c r="P27" s="19" t="s">
        <v>20</v>
      </c>
      <c r="Q27" s="53" t="s">
        <v>96</v>
      </c>
      <c r="R27" s="53"/>
      <c r="S27" s="53">
        <v>500000.0</v>
      </c>
      <c r="T27" s="13" t="s">
        <v>105</v>
      </c>
    </row>
    <row r="28" ht="15.75" customHeight="1">
      <c r="A28" s="80">
        <v>46083.0</v>
      </c>
      <c r="B28" s="8" t="s">
        <v>207</v>
      </c>
      <c r="C28" s="9" t="s">
        <v>15</v>
      </c>
      <c r="D28" s="6" t="s">
        <v>34</v>
      </c>
      <c r="E28" s="6" t="s">
        <v>17</v>
      </c>
      <c r="F28" s="6" t="s">
        <v>45</v>
      </c>
      <c r="G28" s="6" t="s">
        <v>19</v>
      </c>
      <c r="H28" s="8">
        <v>50000.0</v>
      </c>
      <c r="I28" s="8"/>
      <c r="J28" s="8"/>
      <c r="K28" s="8"/>
      <c r="M28" s="52"/>
      <c r="N28" s="19" t="s">
        <v>107</v>
      </c>
      <c r="O28" s="53" t="s">
        <v>27</v>
      </c>
      <c r="P28" s="19" t="s">
        <v>108</v>
      </c>
      <c r="Q28" s="53" t="s">
        <v>96</v>
      </c>
      <c r="R28" s="53">
        <v>1100000.0</v>
      </c>
      <c r="S28" s="53"/>
      <c r="T28" s="13">
        <f>SUMIF(P25:P199,P204,S25:S199)</f>
        <v>500000</v>
      </c>
      <c r="V28" s="56" t="s">
        <v>109</v>
      </c>
      <c r="W28" s="39">
        <f>V26+W26</f>
        <v>2114875</v>
      </c>
    </row>
    <row r="29" ht="15.75" customHeight="1">
      <c r="A29" s="80">
        <v>46083.0</v>
      </c>
      <c r="B29" s="8" t="s">
        <v>208</v>
      </c>
      <c r="C29" s="9" t="s">
        <v>27</v>
      </c>
      <c r="D29" s="6" t="s">
        <v>28</v>
      </c>
      <c r="E29" s="6" t="s">
        <v>17</v>
      </c>
      <c r="F29" s="6" t="s">
        <v>18</v>
      </c>
      <c r="G29" s="6" t="s">
        <v>19</v>
      </c>
      <c r="H29" s="8"/>
      <c r="I29" s="8">
        <v>390000.0</v>
      </c>
      <c r="J29" s="8"/>
      <c r="K29" s="8"/>
      <c r="M29" s="52"/>
      <c r="N29" s="19" t="s">
        <v>111</v>
      </c>
      <c r="O29" s="53" t="s">
        <v>27</v>
      </c>
      <c r="P29" s="19" t="s">
        <v>108</v>
      </c>
      <c r="Q29" s="53" t="s">
        <v>96</v>
      </c>
      <c r="R29" s="53">
        <v>738102.0</v>
      </c>
      <c r="S29" s="53"/>
      <c r="T29" s="13" t="s">
        <v>112</v>
      </c>
    </row>
    <row r="30" ht="15.75" customHeight="1">
      <c r="A30" s="80">
        <v>46083.0</v>
      </c>
      <c r="B30" s="9" t="s">
        <v>209</v>
      </c>
      <c r="C30" s="9" t="s">
        <v>27</v>
      </c>
      <c r="D30" s="6" t="s">
        <v>16</v>
      </c>
      <c r="E30" s="6" t="s">
        <v>17</v>
      </c>
      <c r="F30" s="6" t="s">
        <v>45</v>
      </c>
      <c r="G30" s="6" t="s">
        <v>19</v>
      </c>
      <c r="H30" s="8"/>
      <c r="I30" s="8"/>
      <c r="J30" s="8"/>
      <c r="K30" s="8">
        <v>320000.0</v>
      </c>
      <c r="M30" s="52"/>
      <c r="N30" s="19" t="s">
        <v>114</v>
      </c>
      <c r="O30" s="53"/>
      <c r="P30" s="19" t="s">
        <v>108</v>
      </c>
      <c r="Q30" s="53" t="s">
        <v>96</v>
      </c>
      <c r="R30" s="22">
        <v>127870.0</v>
      </c>
      <c r="S30" s="53"/>
      <c r="T30" s="57">
        <f>SUMIF(P25:P199,P205,S25:S199)</f>
        <v>36000</v>
      </c>
      <c r="AA30" s="58"/>
      <c r="AB30" s="58"/>
      <c r="AC30" s="58"/>
      <c r="AD30" s="58"/>
      <c r="AE30" s="58"/>
      <c r="AF30" s="58"/>
    </row>
    <row r="31" ht="15.75" customHeight="1">
      <c r="A31" s="80">
        <v>46084.0</v>
      </c>
      <c r="B31" s="9" t="s">
        <v>210</v>
      </c>
      <c r="C31" s="9" t="s">
        <v>15</v>
      </c>
      <c r="D31" s="6" t="s">
        <v>16</v>
      </c>
      <c r="E31" s="6" t="s">
        <v>17</v>
      </c>
      <c r="F31" s="6" t="s">
        <v>18</v>
      </c>
      <c r="G31" s="6" t="s">
        <v>19</v>
      </c>
      <c r="H31" s="8">
        <v>310000.0</v>
      </c>
      <c r="I31" s="8"/>
      <c r="J31" s="8"/>
      <c r="K31" s="8"/>
      <c r="M31" s="52"/>
      <c r="N31" s="19" t="s">
        <v>116</v>
      </c>
      <c r="O31" s="53" t="s">
        <v>27</v>
      </c>
      <c r="P31" s="19" t="s">
        <v>108</v>
      </c>
      <c r="Q31" s="53" t="s">
        <v>96</v>
      </c>
      <c r="R31" s="53">
        <v>85390.0</v>
      </c>
      <c r="S31" s="22"/>
      <c r="T31" s="13" t="s">
        <v>117</v>
      </c>
      <c r="V31" s="30" t="s">
        <v>25</v>
      </c>
      <c r="W31" s="30" t="s">
        <v>49</v>
      </c>
      <c r="Y31" s="29" t="s">
        <v>118</v>
      </c>
      <c r="Z31" s="59" t="s">
        <v>119</v>
      </c>
    </row>
    <row r="32" ht="24.0" customHeight="1">
      <c r="A32" s="80">
        <v>46085.0</v>
      </c>
      <c r="B32" s="8" t="s">
        <v>211</v>
      </c>
      <c r="C32" s="9" t="s">
        <v>27</v>
      </c>
      <c r="D32" s="6" t="s">
        <v>16</v>
      </c>
      <c r="E32" s="6" t="s">
        <v>17</v>
      </c>
      <c r="F32" s="6" t="s">
        <v>18</v>
      </c>
      <c r="G32" s="6" t="s">
        <v>19</v>
      </c>
      <c r="H32" s="8"/>
      <c r="I32" s="6"/>
      <c r="J32" s="8">
        <v>100000.0</v>
      </c>
      <c r="K32" s="8"/>
      <c r="M32" s="52"/>
      <c r="N32" s="19" t="s">
        <v>121</v>
      </c>
      <c r="O32" s="53"/>
      <c r="P32" s="19" t="s">
        <v>108</v>
      </c>
      <c r="Q32" s="53" t="s">
        <v>96</v>
      </c>
      <c r="R32" s="53"/>
      <c r="S32" s="65">
        <v>11000.0</v>
      </c>
      <c r="T32" s="13">
        <f>SUMIF(P25:P199,P206,S25:S199)</f>
        <v>139700</v>
      </c>
      <c r="V32" s="39">
        <f t="shared" ref="V32:W32" si="14">N11</f>
        <v>3750000</v>
      </c>
      <c r="W32" s="39">
        <f t="shared" si="14"/>
        <v>15000000</v>
      </c>
      <c r="Y32" s="39">
        <f>O5</f>
        <v>9780700</v>
      </c>
      <c r="Z32" s="39">
        <f>S4</f>
        <v>6358150</v>
      </c>
    </row>
    <row r="33" ht="15.75" customHeight="1">
      <c r="A33" s="80">
        <v>46085.0</v>
      </c>
      <c r="B33" s="8" t="s">
        <v>77</v>
      </c>
      <c r="C33" s="9" t="s">
        <v>27</v>
      </c>
      <c r="D33" s="6" t="s">
        <v>16</v>
      </c>
      <c r="E33" s="6" t="s">
        <v>17</v>
      </c>
      <c r="F33" s="6" t="s">
        <v>18</v>
      </c>
      <c r="G33" s="6" t="s">
        <v>19</v>
      </c>
      <c r="H33" s="8"/>
      <c r="I33" s="8">
        <v>100000.0</v>
      </c>
      <c r="J33" s="8"/>
      <c r="K33" s="8"/>
      <c r="M33" s="52"/>
      <c r="N33" s="19" t="s">
        <v>123</v>
      </c>
      <c r="O33" s="60"/>
      <c r="P33" s="19" t="s">
        <v>108</v>
      </c>
      <c r="Q33" s="53" t="s">
        <v>96</v>
      </c>
      <c r="R33" s="53">
        <v>63513.0</v>
      </c>
      <c r="S33" s="53"/>
      <c r="T33" s="61" t="s">
        <v>124</v>
      </c>
      <c r="V33" s="62" t="s">
        <v>125</v>
      </c>
      <c r="W33" s="63"/>
      <c r="X33" s="63"/>
      <c r="Y33" s="63"/>
      <c r="Z33" s="64"/>
    </row>
    <row r="34" ht="15.75" customHeight="1">
      <c r="A34" s="80">
        <v>46086.0</v>
      </c>
      <c r="B34" s="8" t="s">
        <v>212</v>
      </c>
      <c r="C34" s="9" t="s">
        <v>27</v>
      </c>
      <c r="D34" s="6" t="s">
        <v>16</v>
      </c>
      <c r="E34" s="6" t="s">
        <v>17</v>
      </c>
      <c r="F34" s="6" t="s">
        <v>18</v>
      </c>
      <c r="G34" s="6" t="s">
        <v>19</v>
      </c>
      <c r="H34" s="8"/>
      <c r="I34" s="8"/>
      <c r="J34" s="8">
        <v>100000.0</v>
      </c>
      <c r="K34" s="8"/>
      <c r="M34" s="52"/>
      <c r="N34" s="19" t="s">
        <v>127</v>
      </c>
      <c r="O34" s="19" t="s">
        <v>15</v>
      </c>
      <c r="P34" s="19" t="s">
        <v>20</v>
      </c>
      <c r="Q34" s="53" t="s">
        <v>96</v>
      </c>
      <c r="R34" s="53"/>
      <c r="S34" s="65">
        <v>500000.0</v>
      </c>
      <c r="T34" s="61">
        <f>SUMIF(P25:P199,P207,R25:R199)</f>
        <v>2246875</v>
      </c>
      <c r="V34" s="29" t="s">
        <v>128</v>
      </c>
      <c r="W34" s="66" t="s">
        <v>20</v>
      </c>
      <c r="X34" s="66" t="s">
        <v>8</v>
      </c>
      <c r="Y34" s="66" t="s">
        <v>9</v>
      </c>
      <c r="Z34" s="66" t="s">
        <v>10</v>
      </c>
    </row>
    <row r="35" ht="15.75" customHeight="1">
      <c r="A35" s="80">
        <v>46087.0</v>
      </c>
      <c r="B35" s="81" t="s">
        <v>213</v>
      </c>
      <c r="C35" s="9" t="s">
        <v>15</v>
      </c>
      <c r="D35" s="6" t="s">
        <v>37</v>
      </c>
      <c r="E35" s="6" t="s">
        <v>17</v>
      </c>
      <c r="F35" s="6" t="s">
        <v>45</v>
      </c>
      <c r="G35" s="6" t="s">
        <v>46</v>
      </c>
      <c r="H35" s="8"/>
      <c r="I35" s="8"/>
      <c r="J35" s="8" t="s">
        <v>173</v>
      </c>
      <c r="K35" s="81">
        <v>50000.0</v>
      </c>
      <c r="M35" s="52"/>
      <c r="N35" s="19" t="s">
        <v>130</v>
      </c>
      <c r="O35" s="19" t="s">
        <v>15</v>
      </c>
      <c r="P35" s="19" t="s">
        <v>9</v>
      </c>
      <c r="Q35" s="53" t="s">
        <v>96</v>
      </c>
      <c r="R35" s="53"/>
      <c r="S35" s="53">
        <v>21000.0</v>
      </c>
      <c r="V35" s="13" t="s">
        <v>131</v>
      </c>
      <c r="W35" s="13">
        <f>M14</f>
        <v>21</v>
      </c>
      <c r="X35" s="13">
        <f>M15</f>
        <v>10</v>
      </c>
      <c r="Y35" s="13">
        <f>M16</f>
        <v>8</v>
      </c>
      <c r="Z35" s="13">
        <f>M17</f>
        <v>10</v>
      </c>
    </row>
    <row r="36" ht="15.75" customHeight="1">
      <c r="A36" s="80">
        <v>46088.0</v>
      </c>
      <c r="B36" s="8" t="s">
        <v>214</v>
      </c>
      <c r="C36" s="9" t="s">
        <v>15</v>
      </c>
      <c r="D36" s="6" t="s">
        <v>37</v>
      </c>
      <c r="E36" s="6" t="s">
        <v>17</v>
      </c>
      <c r="F36" s="6" t="s">
        <v>45</v>
      </c>
      <c r="G36" s="6" t="s">
        <v>19</v>
      </c>
      <c r="H36" s="8"/>
      <c r="I36" s="8"/>
      <c r="J36" s="6"/>
      <c r="K36" s="8">
        <v>160000.0</v>
      </c>
      <c r="M36" s="52"/>
      <c r="N36" s="19" t="s">
        <v>132</v>
      </c>
      <c r="O36" s="19" t="s">
        <v>15</v>
      </c>
      <c r="P36" s="19" t="s">
        <v>9</v>
      </c>
      <c r="Q36" s="53" t="s">
        <v>96</v>
      </c>
      <c r="R36" s="53"/>
      <c r="S36" s="53">
        <v>0.0</v>
      </c>
      <c r="V36" s="13" t="s">
        <v>133</v>
      </c>
      <c r="W36" s="13">
        <f t="shared" ref="W36:Z36" si="15">W21</f>
        <v>205000</v>
      </c>
      <c r="X36" s="13">
        <f t="shared" si="15"/>
        <v>0</v>
      </c>
      <c r="Y36" s="13">
        <f t="shared" si="15"/>
        <v>120000</v>
      </c>
      <c r="Z36" s="13">
        <f t="shared" si="15"/>
        <v>200000</v>
      </c>
      <c r="AC36" s="23" t="s">
        <v>173</v>
      </c>
    </row>
    <row r="37" ht="15.75" customHeight="1">
      <c r="A37" s="80">
        <v>46088.0</v>
      </c>
      <c r="B37" s="8" t="s">
        <v>215</v>
      </c>
      <c r="C37" s="9" t="s">
        <v>15</v>
      </c>
      <c r="D37" s="6" t="s">
        <v>37</v>
      </c>
      <c r="E37" s="6" t="s">
        <v>55</v>
      </c>
      <c r="F37" s="6" t="s">
        <v>45</v>
      </c>
      <c r="G37" s="6" t="s">
        <v>46</v>
      </c>
      <c r="H37" s="8">
        <v>25000.0</v>
      </c>
      <c r="I37" s="8"/>
      <c r="J37" s="8"/>
      <c r="K37" s="8"/>
      <c r="M37" s="52"/>
      <c r="N37" s="19" t="s">
        <v>134</v>
      </c>
      <c r="O37" s="54" t="s">
        <v>15</v>
      </c>
      <c r="P37" s="19" t="s">
        <v>20</v>
      </c>
      <c r="Q37" s="53" t="s">
        <v>96</v>
      </c>
      <c r="R37" s="53"/>
      <c r="S37" s="53">
        <v>30000.0</v>
      </c>
      <c r="V37" s="13" t="s">
        <v>135</v>
      </c>
      <c r="W37" s="13">
        <f t="shared" ref="W37:Z37" si="16">W22</f>
        <v>4369800</v>
      </c>
      <c r="X37" s="13">
        <f t="shared" si="16"/>
        <v>2426300</v>
      </c>
      <c r="Y37" s="13">
        <f t="shared" si="16"/>
        <v>1269800</v>
      </c>
      <c r="Z37" s="13">
        <f t="shared" si="16"/>
        <v>1189800</v>
      </c>
      <c r="AB37" s="23">
        <f>R25+R26+R27+R28+R29+R30+S31+S32+R33+S34+S35+S36+S37+S38</f>
        <v>2611485</v>
      </c>
    </row>
    <row r="38" ht="15.75" customHeight="1">
      <c r="A38" s="80">
        <v>46090.0</v>
      </c>
      <c r="B38" s="9" t="s">
        <v>216</v>
      </c>
      <c r="C38" s="9" t="s">
        <v>15</v>
      </c>
      <c r="D38" s="6" t="s">
        <v>37</v>
      </c>
      <c r="E38" s="6" t="s">
        <v>55</v>
      </c>
      <c r="F38" s="6" t="s">
        <v>45</v>
      </c>
      <c r="G38" s="6" t="s">
        <v>19</v>
      </c>
      <c r="H38" s="8">
        <v>150000.0</v>
      </c>
      <c r="I38" s="8"/>
      <c r="J38" s="8"/>
      <c r="K38" s="8"/>
      <c r="M38" s="52"/>
      <c r="N38" s="19" t="s">
        <v>136</v>
      </c>
      <c r="O38" s="54" t="s">
        <v>15</v>
      </c>
      <c r="P38" s="19" t="s">
        <v>10</v>
      </c>
      <c r="Q38" s="53" t="s">
        <v>96</v>
      </c>
      <c r="R38" s="53"/>
      <c r="S38" s="53">
        <v>20000.0</v>
      </c>
      <c r="V38" s="29" t="s">
        <v>137</v>
      </c>
      <c r="W38" s="29">
        <f t="shared" ref="W38:Z38" si="17">W36+W37</f>
        <v>4574800</v>
      </c>
      <c r="X38" s="29">
        <f t="shared" si="17"/>
        <v>2426300</v>
      </c>
      <c r="Y38" s="29">
        <f t="shared" si="17"/>
        <v>1389800</v>
      </c>
      <c r="Z38" s="29">
        <f t="shared" si="17"/>
        <v>1389800</v>
      </c>
    </row>
    <row r="39" ht="15.75" customHeight="1">
      <c r="A39" s="80">
        <v>46091.0</v>
      </c>
      <c r="B39" s="8" t="s">
        <v>217</v>
      </c>
      <c r="C39" s="9" t="s">
        <v>15</v>
      </c>
      <c r="D39" s="6" t="s">
        <v>16</v>
      </c>
      <c r="E39" s="6" t="s">
        <v>55</v>
      </c>
      <c r="F39" s="6" t="s">
        <v>18</v>
      </c>
      <c r="G39" s="6" t="s">
        <v>19</v>
      </c>
      <c r="H39" s="8">
        <v>750000.0</v>
      </c>
      <c r="I39" s="8"/>
      <c r="J39" s="8"/>
      <c r="K39" s="8"/>
      <c r="M39" s="67">
        <v>46072.0</v>
      </c>
      <c r="N39" s="68" t="s">
        <v>218</v>
      </c>
      <c r="O39" s="8" t="s">
        <v>27</v>
      </c>
      <c r="P39" s="8" t="s">
        <v>108</v>
      </c>
      <c r="Q39" s="6" t="s">
        <v>139</v>
      </c>
      <c r="R39" s="8">
        <v>50000.0</v>
      </c>
      <c r="S39" s="6"/>
      <c r="V39" s="13" t="s">
        <v>140</v>
      </c>
      <c r="W39" s="69">
        <f t="shared" ref="W39:Z39" si="18">M3</f>
        <v>1.219946667</v>
      </c>
      <c r="X39" s="69">
        <f t="shared" si="18"/>
        <v>0.6470133333</v>
      </c>
      <c r="Y39" s="69">
        <f t="shared" si="18"/>
        <v>0.3706133333</v>
      </c>
      <c r="Z39" s="69">
        <f t="shared" si="18"/>
        <v>0.3706133333</v>
      </c>
    </row>
    <row r="40" ht="15.75" customHeight="1">
      <c r="A40" s="80">
        <v>46091.0</v>
      </c>
      <c r="B40" s="8" t="s">
        <v>219</v>
      </c>
      <c r="C40" s="9" t="s">
        <v>15</v>
      </c>
      <c r="D40" s="6" t="s">
        <v>37</v>
      </c>
      <c r="E40" s="6" t="s">
        <v>17</v>
      </c>
      <c r="F40" s="6" t="s">
        <v>45</v>
      </c>
      <c r="G40" s="6" t="s">
        <v>46</v>
      </c>
      <c r="H40" s="8"/>
      <c r="I40" s="8"/>
      <c r="J40" s="8"/>
      <c r="K40" s="8">
        <v>90000.0</v>
      </c>
      <c r="M40" s="67">
        <v>46072.0</v>
      </c>
      <c r="N40" s="83" t="s">
        <v>220</v>
      </c>
      <c r="O40" s="8" t="s">
        <v>15</v>
      </c>
      <c r="P40" s="8" t="s">
        <v>20</v>
      </c>
      <c r="Q40" s="8" t="s">
        <v>147</v>
      </c>
      <c r="R40" s="8"/>
      <c r="S40" s="6"/>
      <c r="V40" s="13" t="s">
        <v>142</v>
      </c>
      <c r="W40" s="69">
        <f t="shared" ref="W40:Z40" si="19">M2/$O$11</f>
        <v>0.3049866667</v>
      </c>
      <c r="X40" s="69">
        <f t="shared" si="19"/>
        <v>0.1617533333</v>
      </c>
      <c r="Y40" s="69">
        <f t="shared" si="19"/>
        <v>0.09265333333</v>
      </c>
      <c r="Z40" s="69">
        <f t="shared" si="19"/>
        <v>0.09265333333</v>
      </c>
    </row>
    <row r="41" ht="15.75" customHeight="1">
      <c r="A41" s="80">
        <v>46092.0</v>
      </c>
      <c r="B41" s="8" t="s">
        <v>221</v>
      </c>
      <c r="C41" s="9" t="s">
        <v>15</v>
      </c>
      <c r="D41" s="6" t="s">
        <v>16</v>
      </c>
      <c r="E41" s="6" t="s">
        <v>17</v>
      </c>
      <c r="F41" s="6" t="s">
        <v>45</v>
      </c>
      <c r="G41" s="6" t="s">
        <v>46</v>
      </c>
      <c r="H41" s="8">
        <v>100000.0</v>
      </c>
      <c r="I41" s="8"/>
      <c r="J41" s="8"/>
      <c r="K41" s="8"/>
      <c r="M41" s="67">
        <v>46072.0</v>
      </c>
      <c r="N41" s="8" t="s">
        <v>222</v>
      </c>
      <c r="O41" s="8" t="s">
        <v>15</v>
      </c>
      <c r="P41" s="8" t="s">
        <v>20</v>
      </c>
      <c r="Q41" s="8" t="s">
        <v>139</v>
      </c>
      <c r="R41" s="8"/>
      <c r="S41" s="8">
        <v>200000.0</v>
      </c>
      <c r="V41" s="13" t="s">
        <v>144</v>
      </c>
      <c r="W41" s="69">
        <f t="shared" ref="W41:Z41" si="20">M4</f>
        <v>0.467737483</v>
      </c>
      <c r="X41" s="69">
        <f t="shared" si="20"/>
        <v>0.248070179</v>
      </c>
      <c r="Y41" s="69">
        <f t="shared" si="20"/>
        <v>0.142096169</v>
      </c>
      <c r="Z41" s="69">
        <f t="shared" si="20"/>
        <v>0.142096169</v>
      </c>
    </row>
    <row r="42" ht="15.75" customHeight="1">
      <c r="A42" s="80">
        <v>46093.0</v>
      </c>
      <c r="B42" s="8" t="s">
        <v>223</v>
      </c>
      <c r="C42" s="9" t="s">
        <v>15</v>
      </c>
      <c r="D42" s="6" t="s">
        <v>28</v>
      </c>
      <c r="E42" s="6" t="s">
        <v>17</v>
      </c>
      <c r="F42" s="6" t="s">
        <v>18</v>
      </c>
      <c r="G42" s="6" t="s">
        <v>19</v>
      </c>
      <c r="H42" s="8">
        <v>400000.0</v>
      </c>
      <c r="I42" s="8"/>
      <c r="J42" s="8"/>
      <c r="K42" s="8"/>
      <c r="M42" s="67">
        <v>46073.0</v>
      </c>
      <c r="N42" s="68" t="s">
        <v>224</v>
      </c>
      <c r="O42" s="8" t="s">
        <v>15</v>
      </c>
      <c r="P42" s="8" t="s">
        <v>20</v>
      </c>
      <c r="Q42" s="8" t="s">
        <v>147</v>
      </c>
      <c r="R42" s="6"/>
      <c r="S42" s="68">
        <v>6100.0</v>
      </c>
    </row>
    <row r="43" ht="15.75" customHeight="1">
      <c r="A43" s="80">
        <v>46093.0</v>
      </c>
      <c r="B43" s="8" t="s">
        <v>225</v>
      </c>
      <c r="C43" s="9" t="s">
        <v>15</v>
      </c>
      <c r="D43" s="6" t="s">
        <v>28</v>
      </c>
      <c r="E43" s="6" t="s">
        <v>17</v>
      </c>
      <c r="F43" s="6" t="s">
        <v>18</v>
      </c>
      <c r="G43" s="6" t="s">
        <v>19</v>
      </c>
      <c r="H43" s="8"/>
      <c r="I43" s="8">
        <v>200000.0</v>
      </c>
      <c r="J43" s="8"/>
      <c r="K43" s="8"/>
      <c r="M43" s="67">
        <v>46076.0</v>
      </c>
      <c r="N43" s="68" t="s">
        <v>226</v>
      </c>
      <c r="O43" s="8" t="s">
        <v>15</v>
      </c>
      <c r="P43" s="8" t="s">
        <v>20</v>
      </c>
      <c r="Q43" s="8" t="s">
        <v>147</v>
      </c>
      <c r="R43" s="6"/>
      <c r="S43" s="68">
        <v>50000.0</v>
      </c>
    </row>
    <row r="44" ht="15.75" customHeight="1">
      <c r="A44" s="80">
        <v>46094.0</v>
      </c>
      <c r="B44" s="8" t="s">
        <v>227</v>
      </c>
      <c r="C44" s="9" t="s">
        <v>15</v>
      </c>
      <c r="D44" s="6" t="s">
        <v>28</v>
      </c>
      <c r="E44" s="6" t="s">
        <v>17</v>
      </c>
      <c r="F44" s="6" t="s">
        <v>18</v>
      </c>
      <c r="G44" s="6" t="s">
        <v>19</v>
      </c>
      <c r="H44" s="8"/>
      <c r="I44" s="8">
        <v>250000.0</v>
      </c>
      <c r="J44" s="8"/>
      <c r="K44" s="8"/>
      <c r="M44" s="67">
        <v>46076.0</v>
      </c>
      <c r="N44" s="8" t="s">
        <v>228</v>
      </c>
      <c r="O44" s="8" t="s">
        <v>15</v>
      </c>
      <c r="P44" s="8" t="s">
        <v>9</v>
      </c>
      <c r="Q44" s="8" t="s">
        <v>139</v>
      </c>
      <c r="R44" s="6"/>
      <c r="S44" s="8">
        <v>15000.0</v>
      </c>
      <c r="V44" s="70" t="s">
        <v>149</v>
      </c>
      <c r="W44" s="63"/>
      <c r="X44" s="63"/>
      <c r="Y44" s="63"/>
      <c r="Z44" s="64"/>
    </row>
    <row r="45" ht="15.75" customHeight="1">
      <c r="A45" s="80">
        <v>46094.0</v>
      </c>
      <c r="B45" s="8" t="s">
        <v>229</v>
      </c>
      <c r="C45" s="9" t="s">
        <v>27</v>
      </c>
      <c r="D45" s="6" t="s">
        <v>28</v>
      </c>
      <c r="E45" s="6" t="s">
        <v>17</v>
      </c>
      <c r="F45" s="6" t="s">
        <v>18</v>
      </c>
      <c r="G45" s="6" t="s">
        <v>19</v>
      </c>
      <c r="H45" s="8">
        <v>160000.0</v>
      </c>
      <c r="I45" s="8"/>
      <c r="J45" s="8"/>
      <c r="K45" s="8"/>
      <c r="M45" s="67">
        <v>46076.0</v>
      </c>
      <c r="N45" s="8" t="s">
        <v>230</v>
      </c>
      <c r="O45" s="8" t="s">
        <v>15</v>
      </c>
      <c r="P45" s="8" t="s">
        <v>10</v>
      </c>
      <c r="Q45" s="8" t="s">
        <v>139</v>
      </c>
      <c r="R45" s="6"/>
      <c r="S45" s="8">
        <v>15000.0</v>
      </c>
      <c r="V45" s="71"/>
      <c r="W45" s="53" t="s">
        <v>151</v>
      </c>
      <c r="X45" s="53" t="s">
        <v>152</v>
      </c>
      <c r="Y45" s="53" t="s">
        <v>153</v>
      </c>
      <c r="Z45" s="53" t="s">
        <v>154</v>
      </c>
    </row>
    <row r="46" ht="15.75" customHeight="1">
      <c r="A46" s="80">
        <v>46094.0</v>
      </c>
      <c r="B46" s="8" t="s">
        <v>231</v>
      </c>
      <c r="C46" s="9" t="s">
        <v>15</v>
      </c>
      <c r="D46" s="6" t="s">
        <v>34</v>
      </c>
      <c r="E46" s="6" t="s">
        <v>55</v>
      </c>
      <c r="F46" s="6" t="s">
        <v>45</v>
      </c>
      <c r="G46" s="6" t="s">
        <v>46</v>
      </c>
      <c r="H46" s="8"/>
      <c r="I46" s="8"/>
      <c r="J46" s="8"/>
      <c r="K46" s="8">
        <v>50000.0</v>
      </c>
      <c r="M46" s="67">
        <v>46078.0</v>
      </c>
      <c r="N46" s="9" t="s">
        <v>232</v>
      </c>
      <c r="O46" s="8" t="s">
        <v>15</v>
      </c>
      <c r="P46" s="8" t="s">
        <v>20</v>
      </c>
      <c r="Q46" s="8" t="s">
        <v>139</v>
      </c>
      <c r="R46" s="6"/>
      <c r="S46" s="8">
        <v>96700.0</v>
      </c>
      <c r="V46" s="6"/>
      <c r="W46" s="39">
        <f>Q7</f>
        <v>3422550</v>
      </c>
      <c r="X46" s="39">
        <f>P22</f>
        <v>623125</v>
      </c>
      <c r="Y46" s="39">
        <f>S16</f>
        <v>2224657.5</v>
      </c>
      <c r="Z46" s="39">
        <f>S18</f>
        <v>1197892.5</v>
      </c>
    </row>
    <row r="47" ht="24.75" customHeight="1">
      <c r="A47" s="80">
        <v>46094.0</v>
      </c>
      <c r="B47" s="81" t="s">
        <v>233</v>
      </c>
      <c r="C47" s="9" t="s">
        <v>15</v>
      </c>
      <c r="D47" s="6" t="s">
        <v>16</v>
      </c>
      <c r="E47" s="6" t="s">
        <v>17</v>
      </c>
      <c r="F47" s="6" t="s">
        <v>18</v>
      </c>
      <c r="G47" s="6" t="s">
        <v>19</v>
      </c>
      <c r="H47" s="8"/>
      <c r="I47" s="81">
        <v>300000.0</v>
      </c>
      <c r="J47" s="8"/>
      <c r="K47" s="8"/>
      <c r="M47" s="67">
        <v>46078.0</v>
      </c>
      <c r="N47" s="8" t="s">
        <v>230</v>
      </c>
      <c r="O47" s="8" t="s">
        <v>15</v>
      </c>
      <c r="P47" s="8" t="s">
        <v>10</v>
      </c>
      <c r="Q47" s="8" t="s">
        <v>139</v>
      </c>
      <c r="R47" s="6"/>
      <c r="S47" s="8">
        <v>15400.0</v>
      </c>
      <c r="V47" s="53" t="s">
        <v>128</v>
      </c>
      <c r="W47" s="72" t="s">
        <v>20</v>
      </c>
      <c r="X47" s="72" t="s">
        <v>8</v>
      </c>
      <c r="Y47" s="72" t="s">
        <v>9</v>
      </c>
      <c r="Z47" s="72" t="s">
        <v>10</v>
      </c>
    </row>
    <row r="48" ht="15.75" customHeight="1">
      <c r="A48" s="80">
        <v>46097.0</v>
      </c>
      <c r="B48" s="8" t="s">
        <v>234</v>
      </c>
      <c r="C48" s="9" t="s">
        <v>15</v>
      </c>
      <c r="D48" s="6" t="s">
        <v>16</v>
      </c>
      <c r="E48" s="6" t="s">
        <v>17</v>
      </c>
      <c r="F48" s="6" t="s">
        <v>18</v>
      </c>
      <c r="G48" s="6" t="s">
        <v>19</v>
      </c>
      <c r="H48" s="8"/>
      <c r="I48" s="8"/>
      <c r="J48" s="8">
        <v>250000.0</v>
      </c>
      <c r="K48" s="8"/>
      <c r="M48" s="67">
        <v>46078.0</v>
      </c>
      <c r="N48" s="8" t="s">
        <v>222</v>
      </c>
      <c r="O48" s="8" t="s">
        <v>15</v>
      </c>
      <c r="P48" s="8" t="s">
        <v>20</v>
      </c>
      <c r="Q48" s="8" t="s">
        <v>139</v>
      </c>
      <c r="R48" s="6"/>
      <c r="S48" s="8">
        <v>100000.0</v>
      </c>
      <c r="V48" s="13" t="s">
        <v>156</v>
      </c>
      <c r="W48" s="39">
        <f>S17</f>
        <v>556164.375</v>
      </c>
      <c r="X48" s="39">
        <f>S17</f>
        <v>556164.375</v>
      </c>
      <c r="Y48" s="39">
        <f>S17</f>
        <v>556164.375</v>
      </c>
      <c r="Z48" s="39">
        <f>S17</f>
        <v>556164.375</v>
      </c>
    </row>
    <row r="49" ht="14.25" customHeight="1">
      <c r="A49" s="80">
        <v>46097.0</v>
      </c>
      <c r="B49" s="8" t="s">
        <v>23</v>
      </c>
      <c r="C49" s="9" t="s">
        <v>15</v>
      </c>
      <c r="D49" s="6" t="s">
        <v>24</v>
      </c>
      <c r="E49" s="6" t="s">
        <v>17</v>
      </c>
      <c r="F49" s="6" t="s">
        <v>18</v>
      </c>
      <c r="G49" s="6" t="s">
        <v>19</v>
      </c>
      <c r="H49" s="8">
        <v>200000.0</v>
      </c>
      <c r="I49" s="8"/>
      <c r="J49" s="8"/>
      <c r="K49" s="8"/>
      <c r="M49" s="67">
        <v>46079.0</v>
      </c>
      <c r="N49" s="8" t="s">
        <v>228</v>
      </c>
      <c r="O49" s="8" t="s">
        <v>15</v>
      </c>
      <c r="P49" s="8" t="s">
        <v>20</v>
      </c>
      <c r="Q49" s="8" t="s">
        <v>139</v>
      </c>
      <c r="R49" s="6"/>
      <c r="S49" s="8">
        <v>15000.0</v>
      </c>
      <c r="V49" s="13" t="s">
        <v>158</v>
      </c>
      <c r="W49" s="39">
        <f>S19</f>
        <v>560299.2229</v>
      </c>
      <c r="X49" s="39">
        <f>S20</f>
        <v>297161.4069</v>
      </c>
      <c r="Y49" s="39">
        <f>S21</f>
        <v>170215.9351</v>
      </c>
      <c r="Z49" s="39">
        <f>S22</f>
        <v>170215.9351</v>
      </c>
    </row>
    <row r="50" ht="15.75" customHeight="1">
      <c r="A50" s="67">
        <v>46097.0</v>
      </c>
      <c r="B50" s="8" t="s">
        <v>235</v>
      </c>
      <c r="C50" s="9" t="s">
        <v>27</v>
      </c>
      <c r="D50" s="6" t="s">
        <v>16</v>
      </c>
      <c r="E50" s="6" t="s">
        <v>17</v>
      </c>
      <c r="F50" s="6" t="s">
        <v>18</v>
      </c>
      <c r="G50" s="6" t="s">
        <v>19</v>
      </c>
      <c r="H50" s="8"/>
      <c r="I50" s="8"/>
      <c r="J50" s="8">
        <v>600000.0</v>
      </c>
      <c r="K50" s="8"/>
      <c r="M50" s="67">
        <v>46079.0</v>
      </c>
      <c r="N50" s="8" t="s">
        <v>236</v>
      </c>
      <c r="O50" s="8" t="s">
        <v>15</v>
      </c>
      <c r="P50" s="8" t="s">
        <v>10</v>
      </c>
      <c r="Q50" s="8" t="s">
        <v>139</v>
      </c>
      <c r="R50" s="6"/>
      <c r="S50" s="8">
        <v>9300.0</v>
      </c>
      <c r="V50" s="29" t="s">
        <v>160</v>
      </c>
      <c r="W50" s="73">
        <f>T19</f>
        <v>1116463.598</v>
      </c>
      <c r="X50" s="73">
        <f>T20</f>
        <v>853325.7819</v>
      </c>
      <c r="Y50" s="73">
        <f>T21</f>
        <v>726380.3101</v>
      </c>
      <c r="Z50" s="73">
        <f>T22</f>
        <v>726380.3101</v>
      </c>
    </row>
    <row r="51" ht="27.0" customHeight="1">
      <c r="A51" s="67"/>
      <c r="B51" s="8"/>
      <c r="C51" s="9"/>
      <c r="D51" s="6"/>
      <c r="E51" s="6"/>
      <c r="F51" s="6"/>
      <c r="G51" s="6"/>
      <c r="H51" s="8"/>
      <c r="I51" s="8"/>
      <c r="J51" s="8"/>
      <c r="K51" s="8"/>
      <c r="M51" s="67">
        <v>46080.0</v>
      </c>
      <c r="N51" s="8" t="s">
        <v>237</v>
      </c>
      <c r="O51" s="8" t="s">
        <v>15</v>
      </c>
      <c r="P51" s="8" t="s">
        <v>20</v>
      </c>
      <c r="Q51" s="8" t="s">
        <v>147</v>
      </c>
      <c r="R51" s="6"/>
      <c r="S51" s="8">
        <v>6200.0</v>
      </c>
    </row>
    <row r="52" ht="26.25" customHeight="1">
      <c r="A52" s="67"/>
      <c r="B52" s="8"/>
      <c r="C52" s="9"/>
      <c r="D52" s="6"/>
      <c r="E52" s="6"/>
      <c r="F52" s="6"/>
      <c r="G52" s="6"/>
      <c r="H52" s="8"/>
      <c r="I52" s="8"/>
      <c r="J52" s="8"/>
      <c r="K52" s="8"/>
      <c r="M52" s="67">
        <v>46081.0</v>
      </c>
      <c r="N52" s="8" t="s">
        <v>238</v>
      </c>
      <c r="O52" s="8" t="s">
        <v>15</v>
      </c>
      <c r="P52" s="8" t="s">
        <v>20</v>
      </c>
      <c r="Q52" s="8" t="s">
        <v>139</v>
      </c>
      <c r="R52" s="6"/>
      <c r="S52" s="8">
        <v>20000.0</v>
      </c>
      <c r="V52" s="74" t="s">
        <v>15</v>
      </c>
      <c r="W52" s="63"/>
      <c r="X52" s="63"/>
      <c r="Y52" s="63"/>
      <c r="Z52" s="64"/>
    </row>
    <row r="53" ht="15.75" customHeight="1">
      <c r="A53" s="67"/>
      <c r="B53" s="8"/>
      <c r="C53" s="9"/>
      <c r="D53" s="6"/>
      <c r="E53" s="6"/>
      <c r="F53" s="6"/>
      <c r="G53" s="6"/>
      <c r="H53" s="8"/>
      <c r="I53" s="8"/>
      <c r="J53" s="8"/>
      <c r="K53" s="8"/>
      <c r="M53" s="67">
        <v>46083.0</v>
      </c>
      <c r="N53" s="8" t="s">
        <v>239</v>
      </c>
      <c r="O53" s="8" t="s">
        <v>15</v>
      </c>
      <c r="P53" s="8" t="s">
        <v>20</v>
      </c>
      <c r="Q53" s="8" t="s">
        <v>139</v>
      </c>
      <c r="R53" s="6"/>
      <c r="S53" s="8">
        <v>190000.0</v>
      </c>
      <c r="V53" s="75"/>
      <c r="W53" s="76" t="s">
        <v>7</v>
      </c>
      <c r="X53" s="76" t="s">
        <v>8</v>
      </c>
      <c r="Y53" s="76" t="s">
        <v>9</v>
      </c>
      <c r="Z53" s="76" t="s">
        <v>10</v>
      </c>
    </row>
    <row r="54" ht="15.75" customHeight="1">
      <c r="A54" s="67"/>
      <c r="B54" s="8"/>
      <c r="C54" s="9"/>
      <c r="D54" s="6"/>
      <c r="E54" s="6"/>
      <c r="F54" s="6"/>
      <c r="G54" s="6"/>
      <c r="H54" s="8"/>
      <c r="I54" s="6"/>
      <c r="J54" s="8"/>
      <c r="K54" s="8"/>
      <c r="M54" s="67">
        <v>46083.0</v>
      </c>
      <c r="N54" s="8" t="s">
        <v>228</v>
      </c>
      <c r="O54" s="8" t="s">
        <v>27</v>
      </c>
      <c r="P54" s="8" t="s">
        <v>108</v>
      </c>
      <c r="Q54" s="8" t="s">
        <v>139</v>
      </c>
      <c r="R54" s="6">
        <v>17000.0</v>
      </c>
      <c r="S54" s="8"/>
      <c r="V54" s="13" t="s">
        <v>163</v>
      </c>
      <c r="W54" s="13">
        <f t="shared" ref="W54:Z54" si="21">W55+W56</f>
        <v>4429745</v>
      </c>
      <c r="X54" s="13">
        <f t="shared" si="21"/>
        <v>1320955</v>
      </c>
      <c r="Y54" s="13">
        <f t="shared" si="21"/>
        <v>800000</v>
      </c>
      <c r="Z54" s="13">
        <f t="shared" si="21"/>
        <v>360000</v>
      </c>
    </row>
    <row r="55" ht="15.75" customHeight="1">
      <c r="A55" s="67"/>
      <c r="B55" s="8"/>
      <c r="C55" s="9"/>
      <c r="D55" s="6"/>
      <c r="E55" s="6"/>
      <c r="F55" s="6"/>
      <c r="G55" s="6"/>
      <c r="H55" s="8"/>
      <c r="I55" s="8"/>
      <c r="J55" s="8"/>
      <c r="K55" s="8"/>
      <c r="M55" s="67">
        <v>46084.0</v>
      </c>
      <c r="N55" s="8" t="s">
        <v>169</v>
      </c>
      <c r="O55" s="8" t="s">
        <v>15</v>
      </c>
      <c r="P55" s="8" t="s">
        <v>20</v>
      </c>
      <c r="Q55" s="8" t="s">
        <v>96</v>
      </c>
      <c r="R55" s="8"/>
      <c r="S55" s="6">
        <v>300000.0</v>
      </c>
      <c r="V55" s="13" t="s">
        <v>164</v>
      </c>
      <c r="W55" s="13">
        <f>T26</f>
        <v>3424575</v>
      </c>
      <c r="X55" s="13">
        <f>T28</f>
        <v>500000</v>
      </c>
      <c r="Y55" s="13">
        <f>T30</f>
        <v>36000</v>
      </c>
      <c r="Z55" s="13">
        <f>T32</f>
        <v>139700</v>
      </c>
    </row>
    <row r="56" ht="15.75" customHeight="1">
      <c r="A56" s="67"/>
      <c r="B56" s="8"/>
      <c r="C56" s="9"/>
      <c r="D56" s="6"/>
      <c r="E56" s="6"/>
      <c r="F56" s="6"/>
      <c r="G56" s="6"/>
      <c r="H56" s="8"/>
      <c r="I56" s="8"/>
      <c r="J56" s="8"/>
      <c r="K56" s="8"/>
      <c r="M56" s="67">
        <v>46084.0</v>
      </c>
      <c r="N56" s="8" t="s">
        <v>240</v>
      </c>
      <c r="O56" s="8" t="s">
        <v>15</v>
      </c>
      <c r="P56" s="8" t="s">
        <v>20</v>
      </c>
      <c r="Q56" s="8" t="s">
        <v>139</v>
      </c>
      <c r="R56" s="8"/>
      <c r="S56" s="6">
        <v>40000.0</v>
      </c>
      <c r="V56" s="75" t="s">
        <v>166</v>
      </c>
      <c r="W56" s="75">
        <f>T11</f>
        <v>1005170</v>
      </c>
      <c r="X56" s="75">
        <f>T12</f>
        <v>820955</v>
      </c>
      <c r="Y56" s="75">
        <f>T13</f>
        <v>764000</v>
      </c>
      <c r="Z56" s="75">
        <f>T14</f>
        <v>220300</v>
      </c>
    </row>
    <row r="57" ht="15.75" customHeight="1">
      <c r="A57" s="67"/>
      <c r="B57" s="8"/>
      <c r="C57" s="9"/>
      <c r="D57" s="6"/>
      <c r="E57" s="6"/>
      <c r="F57" s="6"/>
      <c r="G57" s="6"/>
      <c r="H57" s="8"/>
      <c r="I57" s="8"/>
      <c r="J57" s="8"/>
      <c r="K57" s="8"/>
      <c r="M57" s="67">
        <v>46084.0</v>
      </c>
      <c r="N57" s="8" t="s">
        <v>241</v>
      </c>
      <c r="O57" s="8" t="s">
        <v>15</v>
      </c>
      <c r="P57" s="8" t="s">
        <v>10</v>
      </c>
      <c r="Q57" s="8" t="s">
        <v>139</v>
      </c>
      <c r="R57" s="8"/>
      <c r="S57" s="6">
        <v>80000.0</v>
      </c>
      <c r="V57" s="75" t="s">
        <v>168</v>
      </c>
      <c r="W57" s="77">
        <f t="shared" ref="W57:Z57" si="22">W50-W56</f>
        <v>111293.5979</v>
      </c>
      <c r="X57" s="77">
        <f t="shared" si="22"/>
        <v>32370.78193</v>
      </c>
      <c r="Y57" s="77">
        <f t="shared" si="22"/>
        <v>-37619.68989</v>
      </c>
      <c r="Z57" s="77">
        <f t="shared" si="22"/>
        <v>506080.3101</v>
      </c>
    </row>
    <row r="58" ht="15.75" customHeight="1">
      <c r="A58" s="67"/>
      <c r="B58" s="8"/>
      <c r="C58" s="8"/>
      <c r="D58" s="6"/>
      <c r="E58" s="6"/>
      <c r="F58" s="6"/>
      <c r="G58" s="6"/>
      <c r="H58" s="8"/>
      <c r="I58" s="8"/>
      <c r="J58" s="8"/>
      <c r="K58" s="8"/>
      <c r="M58" s="67">
        <v>46085.0</v>
      </c>
      <c r="N58" s="8" t="s">
        <v>242</v>
      </c>
      <c r="O58" s="8" t="s">
        <v>15</v>
      </c>
      <c r="P58" s="8" t="s">
        <v>20</v>
      </c>
      <c r="Q58" s="8" t="s">
        <v>147</v>
      </c>
      <c r="R58" s="8"/>
      <c r="S58" s="6">
        <v>21200.0</v>
      </c>
    </row>
    <row r="59" ht="15.75" customHeight="1">
      <c r="A59" s="67"/>
      <c r="B59" s="8"/>
      <c r="C59" s="8"/>
      <c r="D59" s="6"/>
      <c r="E59" s="6"/>
      <c r="F59" s="6"/>
      <c r="G59" s="6"/>
      <c r="H59" s="8"/>
      <c r="I59" s="8"/>
      <c r="J59" s="8"/>
      <c r="K59" s="8"/>
      <c r="M59" s="67">
        <v>46085.0</v>
      </c>
      <c r="N59" s="8" t="s">
        <v>243</v>
      </c>
      <c r="O59" s="8" t="s">
        <v>15</v>
      </c>
      <c r="P59" s="8" t="s">
        <v>20</v>
      </c>
      <c r="Q59" s="8" t="s">
        <v>139</v>
      </c>
      <c r="R59" s="8"/>
      <c r="S59" s="6">
        <v>29600.0</v>
      </c>
    </row>
    <row r="60" ht="15.75" customHeight="1">
      <c r="A60" s="67"/>
      <c r="B60" s="8"/>
      <c r="C60" s="8"/>
      <c r="D60" s="6"/>
      <c r="E60" s="6"/>
      <c r="F60" s="6"/>
      <c r="G60" s="6"/>
      <c r="H60" s="8"/>
      <c r="I60" s="8"/>
      <c r="J60" s="8"/>
      <c r="K60" s="8"/>
      <c r="M60" s="67">
        <v>46085.0</v>
      </c>
      <c r="N60" s="8" t="s">
        <v>243</v>
      </c>
      <c r="O60" s="78" t="s">
        <v>15</v>
      </c>
      <c r="P60" s="78" t="s">
        <v>20</v>
      </c>
      <c r="Q60" s="78" t="s">
        <v>139</v>
      </c>
      <c r="R60" s="78"/>
      <c r="S60" s="6">
        <v>18000.0</v>
      </c>
    </row>
    <row r="61" ht="15.75" customHeight="1">
      <c r="A61" s="67"/>
      <c r="B61" s="8"/>
      <c r="C61" s="8"/>
      <c r="D61" s="6"/>
      <c r="E61" s="6"/>
      <c r="F61" s="6"/>
      <c r="G61" s="6"/>
      <c r="H61" s="8"/>
      <c r="I61" s="8"/>
      <c r="J61" s="8"/>
      <c r="K61" s="8"/>
      <c r="M61" s="67">
        <v>46085.0</v>
      </c>
      <c r="N61" s="9" t="s">
        <v>228</v>
      </c>
      <c r="O61" s="9" t="s">
        <v>27</v>
      </c>
      <c r="P61" s="9" t="s">
        <v>108</v>
      </c>
      <c r="Q61" s="9" t="s">
        <v>139</v>
      </c>
      <c r="R61" s="9">
        <v>10000.0</v>
      </c>
      <c r="S61" s="6"/>
    </row>
    <row r="62" ht="15.75" customHeight="1">
      <c r="A62" s="67"/>
      <c r="B62" s="8"/>
      <c r="C62" s="8"/>
      <c r="D62" s="6"/>
      <c r="E62" s="6"/>
      <c r="F62" s="6"/>
      <c r="G62" s="6"/>
      <c r="H62" s="8"/>
      <c r="I62" s="8"/>
      <c r="J62" s="8"/>
      <c r="K62" s="8"/>
      <c r="M62" s="67">
        <v>46090.0</v>
      </c>
      <c r="N62" s="6" t="s">
        <v>244</v>
      </c>
      <c r="O62" s="6" t="s">
        <v>15</v>
      </c>
      <c r="P62" s="6" t="s">
        <v>20</v>
      </c>
      <c r="Q62" s="6" t="s">
        <v>147</v>
      </c>
      <c r="R62" s="6"/>
      <c r="S62" s="6">
        <v>48700.0</v>
      </c>
    </row>
    <row r="63" ht="15.75" customHeight="1">
      <c r="A63" s="67"/>
      <c r="B63" s="8"/>
      <c r="C63" s="8"/>
      <c r="D63" s="6"/>
      <c r="E63" s="6"/>
      <c r="F63" s="6"/>
      <c r="G63" s="6"/>
      <c r="H63" s="8"/>
      <c r="I63" s="8"/>
      <c r="J63" s="8"/>
      <c r="K63" s="8"/>
      <c r="M63" s="67">
        <v>46090.0</v>
      </c>
      <c r="N63" s="6" t="s">
        <v>245</v>
      </c>
      <c r="O63" s="6" t="s">
        <v>15</v>
      </c>
      <c r="P63" s="6" t="s">
        <v>20</v>
      </c>
      <c r="Q63" s="6" t="s">
        <v>147</v>
      </c>
      <c r="R63" s="6"/>
      <c r="S63" s="6">
        <v>21200.0</v>
      </c>
    </row>
    <row r="64" ht="15.75" customHeight="1">
      <c r="A64" s="67"/>
      <c r="B64" s="8"/>
      <c r="C64" s="8"/>
      <c r="D64" s="6"/>
      <c r="E64" s="6"/>
      <c r="F64" s="6"/>
      <c r="G64" s="6"/>
      <c r="H64" s="8"/>
      <c r="I64" s="8"/>
      <c r="J64" s="8"/>
      <c r="K64" s="8"/>
      <c r="M64" s="67">
        <v>46090.0</v>
      </c>
      <c r="N64" s="6" t="s">
        <v>228</v>
      </c>
      <c r="O64" s="6" t="s">
        <v>27</v>
      </c>
      <c r="P64" s="6" t="s">
        <v>108</v>
      </c>
      <c r="Q64" s="6" t="s">
        <v>139</v>
      </c>
      <c r="R64" s="6">
        <v>16000.0</v>
      </c>
      <c r="S64" s="6"/>
    </row>
    <row r="65" ht="15.75" customHeight="1">
      <c r="A65" s="67"/>
      <c r="B65" s="8"/>
      <c r="C65" s="8"/>
      <c r="D65" s="6"/>
      <c r="E65" s="6"/>
      <c r="F65" s="6"/>
      <c r="G65" s="6"/>
      <c r="H65" s="8"/>
      <c r="I65" s="8"/>
      <c r="J65" s="8"/>
      <c r="K65" s="8"/>
      <c r="M65" s="67">
        <v>46092.0</v>
      </c>
      <c r="N65" s="6" t="s">
        <v>246</v>
      </c>
      <c r="O65" s="6" t="s">
        <v>15</v>
      </c>
      <c r="P65" s="6" t="s">
        <v>20</v>
      </c>
      <c r="Q65" s="6" t="s">
        <v>147</v>
      </c>
      <c r="R65" s="6"/>
      <c r="S65" s="6">
        <v>7475.0</v>
      </c>
    </row>
    <row r="66" ht="15.75" customHeight="1">
      <c r="A66" s="67"/>
      <c r="B66" s="8"/>
      <c r="C66" s="8"/>
      <c r="D66" s="6"/>
      <c r="E66" s="6"/>
      <c r="F66" s="6"/>
      <c r="G66" s="6"/>
      <c r="H66" s="8"/>
      <c r="I66" s="8"/>
      <c r="J66" s="8"/>
      <c r="K66" s="8"/>
      <c r="M66" s="67">
        <v>46092.0</v>
      </c>
      <c r="N66" s="6" t="s">
        <v>228</v>
      </c>
      <c r="O66" s="6" t="s">
        <v>27</v>
      </c>
      <c r="P66" s="6" t="s">
        <v>108</v>
      </c>
      <c r="Q66" s="6" t="s">
        <v>139</v>
      </c>
      <c r="R66" s="6">
        <v>9000.0</v>
      </c>
      <c r="S66" s="6"/>
    </row>
    <row r="67" ht="15.75" customHeight="1">
      <c r="A67" s="67"/>
      <c r="B67" s="8"/>
      <c r="C67" s="8"/>
      <c r="D67" s="6"/>
      <c r="E67" s="6"/>
      <c r="F67" s="6"/>
      <c r="G67" s="6"/>
      <c r="H67" s="8"/>
      <c r="I67" s="8"/>
      <c r="J67" s="8"/>
      <c r="K67" s="8"/>
      <c r="M67" s="67">
        <v>46093.0</v>
      </c>
      <c r="N67" s="6" t="s">
        <v>247</v>
      </c>
      <c r="O67" s="6" t="s">
        <v>27</v>
      </c>
      <c r="P67" s="6" t="s">
        <v>108</v>
      </c>
      <c r="Q67" s="6" t="s">
        <v>147</v>
      </c>
      <c r="R67" s="6">
        <v>30000.0</v>
      </c>
      <c r="S67" s="6"/>
    </row>
    <row r="68" ht="15.75" customHeight="1">
      <c r="A68" s="67"/>
      <c r="B68" s="8"/>
      <c r="C68" s="8"/>
      <c r="D68" s="6"/>
      <c r="E68" s="6"/>
      <c r="F68" s="6"/>
      <c r="G68" s="6"/>
      <c r="H68" s="8"/>
      <c r="I68" s="8"/>
      <c r="J68" s="8"/>
      <c r="K68" s="8"/>
      <c r="M68" s="67">
        <v>46093.0</v>
      </c>
      <c r="N68" s="6" t="s">
        <v>248</v>
      </c>
      <c r="O68" s="6" t="s">
        <v>15</v>
      </c>
      <c r="P68" s="6" t="s">
        <v>20</v>
      </c>
      <c r="Q68" s="6" t="s">
        <v>147</v>
      </c>
      <c r="R68" s="6"/>
      <c r="S68" s="6">
        <v>154200.0</v>
      </c>
    </row>
    <row r="69" ht="15.75" customHeight="1">
      <c r="A69" s="67"/>
      <c r="B69" s="8"/>
      <c r="C69" s="8"/>
      <c r="D69" s="6"/>
      <c r="E69" s="6"/>
      <c r="F69" s="6"/>
      <c r="G69" s="6"/>
      <c r="H69" s="8"/>
      <c r="I69" s="8"/>
      <c r="J69" s="8"/>
      <c r="K69" s="8"/>
      <c r="M69" s="67">
        <v>46093.0</v>
      </c>
      <c r="N69" s="6" t="s">
        <v>249</v>
      </c>
      <c r="O69" s="6" t="s">
        <v>15</v>
      </c>
      <c r="P69" s="6" t="s">
        <v>20</v>
      </c>
      <c r="Q69" s="6" t="s">
        <v>139</v>
      </c>
      <c r="R69" s="6"/>
      <c r="S69" s="6">
        <v>100000.0</v>
      </c>
    </row>
    <row r="70" ht="15.75" customHeight="1">
      <c r="A70" s="67"/>
      <c r="B70" s="8"/>
      <c r="C70" s="8"/>
      <c r="D70" s="6"/>
      <c r="E70" s="6"/>
      <c r="F70" s="6"/>
      <c r="G70" s="6"/>
      <c r="H70" s="8"/>
      <c r="I70" s="8"/>
      <c r="J70" s="8"/>
      <c r="K70" s="8"/>
      <c r="M70" s="67">
        <v>46093.0</v>
      </c>
      <c r="N70" s="6" t="s">
        <v>250</v>
      </c>
      <c r="O70" s="6" t="s">
        <v>15</v>
      </c>
      <c r="P70" s="6" t="s">
        <v>20</v>
      </c>
      <c r="Q70" s="6" t="s">
        <v>147</v>
      </c>
      <c r="R70" s="6"/>
      <c r="S70" s="6">
        <v>48700.0</v>
      </c>
    </row>
    <row r="71" ht="15.75" customHeight="1">
      <c r="A71" s="67"/>
      <c r="B71" s="8"/>
      <c r="C71" s="8"/>
      <c r="D71" s="6"/>
      <c r="E71" s="6"/>
      <c r="F71" s="6"/>
      <c r="G71" s="6"/>
      <c r="H71" s="8"/>
      <c r="I71" s="8"/>
      <c r="J71" s="8"/>
      <c r="K71" s="8"/>
      <c r="M71" s="67">
        <v>46093.0</v>
      </c>
      <c r="N71" s="6" t="s">
        <v>251</v>
      </c>
      <c r="O71" s="6" t="s">
        <v>15</v>
      </c>
      <c r="P71" s="6" t="s">
        <v>20</v>
      </c>
      <c r="Q71" s="6" t="s">
        <v>147</v>
      </c>
      <c r="R71" s="6"/>
      <c r="S71" s="6">
        <v>6000.0</v>
      </c>
      <c r="T71" s="23"/>
    </row>
    <row r="72" ht="15.75" customHeight="1">
      <c r="A72" s="67"/>
      <c r="B72" s="8"/>
      <c r="C72" s="8"/>
      <c r="D72" s="6"/>
      <c r="E72" s="6"/>
      <c r="F72" s="6"/>
      <c r="G72" s="6"/>
      <c r="H72" s="8"/>
      <c r="I72" s="8"/>
      <c r="J72" s="8"/>
      <c r="K72" s="8"/>
      <c r="M72" s="67">
        <v>46094.0</v>
      </c>
      <c r="N72" s="6" t="s">
        <v>252</v>
      </c>
      <c r="O72" s="6" t="s">
        <v>15</v>
      </c>
      <c r="P72" s="6" t="s">
        <v>20</v>
      </c>
      <c r="Q72" s="6" t="s">
        <v>147</v>
      </c>
      <c r="R72" s="6"/>
      <c r="S72" s="6">
        <v>5500.0</v>
      </c>
    </row>
    <row r="73" ht="15.75" customHeight="1">
      <c r="A73" s="67"/>
      <c r="B73" s="8"/>
      <c r="C73" s="8"/>
      <c r="D73" s="6"/>
      <c r="E73" s="6"/>
      <c r="F73" s="6"/>
      <c r="G73" s="6"/>
      <c r="H73" s="8"/>
      <c r="I73" s="8"/>
      <c r="J73" s="8"/>
      <c r="K73" s="8"/>
      <c r="M73" s="67">
        <v>46094.0</v>
      </c>
      <c r="N73" s="6" t="s">
        <v>253</v>
      </c>
      <c r="O73" s="6" t="s">
        <v>15</v>
      </c>
      <c r="P73" s="6" t="s">
        <v>20</v>
      </c>
      <c r="Q73" s="6" t="s">
        <v>139</v>
      </c>
      <c r="R73" s="6"/>
      <c r="S73" s="6">
        <v>100000.0</v>
      </c>
    </row>
    <row r="74" ht="15.75" customHeight="1">
      <c r="A74" s="67"/>
      <c r="B74" s="8"/>
      <c r="C74" s="8"/>
      <c r="D74" s="6"/>
      <c r="E74" s="6"/>
      <c r="F74" s="6"/>
      <c r="G74" s="6"/>
      <c r="H74" s="8"/>
      <c r="I74" s="8"/>
      <c r="J74" s="8"/>
      <c r="K74" s="8"/>
      <c r="M74" s="67">
        <v>46094.0</v>
      </c>
      <c r="N74" s="6" t="s">
        <v>254</v>
      </c>
      <c r="O74" s="6" t="s">
        <v>15</v>
      </c>
      <c r="P74" s="6" t="s">
        <v>20</v>
      </c>
      <c r="Q74" s="6" t="s">
        <v>147</v>
      </c>
      <c r="R74" s="6"/>
      <c r="S74" s="6">
        <v>60000.0</v>
      </c>
    </row>
    <row r="75" ht="15.75" customHeight="1">
      <c r="A75" s="67"/>
      <c r="B75" s="8"/>
      <c r="C75" s="8"/>
      <c r="D75" s="6"/>
      <c r="E75" s="6"/>
      <c r="F75" s="6"/>
      <c r="G75" s="6"/>
      <c r="H75" s="8"/>
      <c r="I75" s="8"/>
      <c r="J75" s="8"/>
      <c r="K75" s="8"/>
      <c r="M75" s="67"/>
      <c r="N75" s="6"/>
      <c r="O75" s="6"/>
      <c r="P75" s="6"/>
      <c r="Q75" s="6"/>
      <c r="R75" s="6"/>
      <c r="S75" s="6"/>
    </row>
    <row r="76" ht="15.75" customHeight="1">
      <c r="A76" s="67"/>
      <c r="B76" s="8"/>
      <c r="C76" s="8"/>
      <c r="D76" s="6"/>
      <c r="E76" s="6"/>
      <c r="F76" s="6"/>
      <c r="G76" s="6"/>
      <c r="H76" s="8"/>
      <c r="I76" s="8"/>
      <c r="J76" s="8"/>
      <c r="K76" s="8"/>
      <c r="M76" s="67"/>
      <c r="N76" s="6"/>
      <c r="O76" s="6"/>
      <c r="P76" s="6"/>
      <c r="Q76" s="6"/>
      <c r="R76" s="6"/>
      <c r="S76" s="6"/>
    </row>
    <row r="77" ht="15.75" customHeight="1">
      <c r="A77" s="67"/>
      <c r="B77" s="8"/>
      <c r="C77" s="8"/>
      <c r="D77" s="6"/>
      <c r="E77" s="6"/>
      <c r="F77" s="6"/>
      <c r="G77" s="6"/>
      <c r="H77" s="8"/>
      <c r="I77" s="8"/>
      <c r="J77" s="8"/>
      <c r="K77" s="8"/>
      <c r="M77" s="67"/>
      <c r="N77" s="6"/>
      <c r="O77" s="6"/>
      <c r="P77" s="6"/>
      <c r="Q77" s="6"/>
      <c r="R77" s="6"/>
      <c r="S77" s="6"/>
    </row>
    <row r="78" ht="15.75" customHeight="1">
      <c r="A78" s="67"/>
      <c r="B78" s="8"/>
      <c r="C78" s="8"/>
      <c r="D78" s="6"/>
      <c r="E78" s="6"/>
      <c r="F78" s="6"/>
      <c r="G78" s="6"/>
      <c r="H78" s="8"/>
      <c r="I78" s="8"/>
      <c r="J78" s="8"/>
      <c r="K78" s="8"/>
      <c r="M78" s="67"/>
      <c r="N78" s="6"/>
      <c r="O78" s="6"/>
      <c r="P78" s="6"/>
      <c r="Q78" s="6"/>
      <c r="R78" s="6"/>
      <c r="S78" s="6"/>
    </row>
    <row r="79" ht="15.75" customHeight="1">
      <c r="A79" s="67"/>
      <c r="B79" s="8"/>
      <c r="C79" s="8"/>
      <c r="D79" s="6"/>
      <c r="E79" s="6"/>
      <c r="F79" s="6"/>
      <c r="G79" s="6"/>
      <c r="H79" s="8"/>
      <c r="I79" s="8"/>
      <c r="J79" s="8"/>
      <c r="K79" s="8"/>
      <c r="M79" s="67"/>
      <c r="N79" s="6"/>
      <c r="O79" s="6"/>
      <c r="P79" s="6"/>
      <c r="Q79" s="6"/>
      <c r="R79" s="6"/>
      <c r="S79" s="6"/>
    </row>
    <row r="80" ht="15.75" customHeight="1">
      <c r="A80" s="67"/>
      <c r="B80" s="8"/>
      <c r="C80" s="8"/>
      <c r="D80" s="6"/>
      <c r="E80" s="6"/>
      <c r="F80" s="6"/>
      <c r="G80" s="6"/>
      <c r="H80" s="8"/>
      <c r="I80" s="8"/>
      <c r="J80" s="8"/>
      <c r="K80" s="8"/>
      <c r="M80" s="67"/>
      <c r="N80" s="6"/>
      <c r="O80" s="6"/>
      <c r="P80" s="6"/>
      <c r="Q80" s="6"/>
      <c r="R80" s="6"/>
      <c r="S80" s="6"/>
    </row>
    <row r="81" ht="15.75" customHeight="1">
      <c r="A81" s="67"/>
      <c r="B81" s="8"/>
      <c r="C81" s="8"/>
      <c r="D81" s="6"/>
      <c r="E81" s="6"/>
      <c r="F81" s="6"/>
      <c r="G81" s="6"/>
      <c r="H81" s="8"/>
      <c r="I81" s="8"/>
      <c r="J81" s="8"/>
      <c r="K81" s="8"/>
      <c r="M81" s="67"/>
      <c r="N81" s="6"/>
      <c r="O81" s="6"/>
      <c r="P81" s="6"/>
      <c r="Q81" s="6"/>
      <c r="R81" s="6"/>
      <c r="S81" s="6"/>
    </row>
    <row r="82" ht="15.75" customHeight="1">
      <c r="A82" s="67"/>
      <c r="B82" s="8"/>
      <c r="C82" s="8"/>
      <c r="D82" s="6"/>
      <c r="E82" s="6"/>
      <c r="F82" s="6"/>
      <c r="G82" s="6"/>
      <c r="H82" s="8"/>
      <c r="I82" s="8"/>
      <c r="J82" s="8"/>
      <c r="K82" s="8"/>
      <c r="M82" s="67"/>
      <c r="N82" s="6"/>
      <c r="O82" s="6"/>
      <c r="P82" s="6"/>
      <c r="Q82" s="6"/>
      <c r="R82" s="6"/>
      <c r="S82" s="6"/>
    </row>
    <row r="83" ht="15.75" customHeight="1">
      <c r="A83" s="67"/>
      <c r="B83" s="8"/>
      <c r="C83" s="8"/>
      <c r="D83" s="6"/>
      <c r="E83" s="6"/>
      <c r="F83" s="6"/>
      <c r="G83" s="6"/>
      <c r="H83" s="8"/>
      <c r="I83" s="8"/>
      <c r="J83" s="8"/>
      <c r="K83" s="8"/>
      <c r="M83" s="67"/>
      <c r="N83" s="6"/>
      <c r="O83" s="6"/>
      <c r="P83" s="6"/>
      <c r="Q83" s="6"/>
      <c r="R83" s="6"/>
      <c r="S83" s="6"/>
    </row>
    <row r="84" ht="15.75" customHeight="1">
      <c r="A84" s="67"/>
      <c r="B84" s="8"/>
      <c r="C84" s="8"/>
      <c r="D84" s="6"/>
      <c r="E84" s="6"/>
      <c r="F84" s="6"/>
      <c r="G84" s="6"/>
      <c r="H84" s="8"/>
      <c r="I84" s="8"/>
      <c r="J84" s="8"/>
      <c r="K84" s="8"/>
      <c r="M84" s="67"/>
      <c r="N84" s="6"/>
      <c r="O84" s="6"/>
      <c r="P84" s="6"/>
      <c r="Q84" s="6"/>
      <c r="R84" s="6"/>
      <c r="S84" s="6"/>
    </row>
    <row r="85" ht="15.75" customHeight="1">
      <c r="A85" s="67"/>
      <c r="B85" s="8"/>
      <c r="C85" s="8"/>
      <c r="D85" s="6"/>
      <c r="E85" s="6"/>
      <c r="F85" s="6"/>
      <c r="G85" s="6"/>
      <c r="H85" s="8"/>
      <c r="I85" s="8"/>
      <c r="J85" s="8"/>
      <c r="K85" s="8"/>
      <c r="M85" s="67"/>
      <c r="N85" s="6"/>
      <c r="O85" s="6"/>
      <c r="P85" s="6"/>
      <c r="Q85" s="6"/>
      <c r="R85" s="6"/>
      <c r="S85" s="6"/>
    </row>
    <row r="86" ht="15.75" customHeight="1">
      <c r="A86" s="67"/>
      <c r="B86" s="8"/>
      <c r="C86" s="8"/>
      <c r="D86" s="6"/>
      <c r="E86" s="6"/>
      <c r="F86" s="6"/>
      <c r="G86" s="6"/>
      <c r="H86" s="8"/>
      <c r="I86" s="8"/>
      <c r="J86" s="8"/>
      <c r="K86" s="8"/>
      <c r="M86" s="67"/>
      <c r="N86" s="6"/>
      <c r="O86" s="6"/>
      <c r="P86" s="6"/>
      <c r="Q86" s="6"/>
      <c r="R86" s="6"/>
      <c r="S86" s="6"/>
    </row>
    <row r="87" ht="15.75" customHeight="1">
      <c r="A87" s="67"/>
      <c r="B87" s="8"/>
      <c r="C87" s="8"/>
      <c r="D87" s="6"/>
      <c r="E87" s="6"/>
      <c r="F87" s="6"/>
      <c r="G87" s="6"/>
      <c r="H87" s="8"/>
      <c r="I87" s="8"/>
      <c r="J87" s="8"/>
      <c r="K87" s="8"/>
      <c r="M87" s="67"/>
      <c r="N87" s="6"/>
      <c r="O87" s="6"/>
      <c r="P87" s="6"/>
      <c r="Q87" s="6"/>
      <c r="R87" s="6"/>
      <c r="S87" s="6"/>
    </row>
    <row r="88" ht="15.75" customHeight="1">
      <c r="A88" s="67"/>
      <c r="B88" s="8"/>
      <c r="C88" s="8"/>
      <c r="D88" s="6"/>
      <c r="E88" s="6"/>
      <c r="F88" s="6"/>
      <c r="G88" s="6"/>
      <c r="H88" s="8"/>
      <c r="I88" s="8"/>
      <c r="J88" s="8"/>
      <c r="K88" s="8"/>
      <c r="M88" s="67"/>
      <c r="N88" s="6"/>
      <c r="O88" s="6"/>
      <c r="P88" s="6"/>
      <c r="Q88" s="6"/>
      <c r="R88" s="6"/>
      <c r="S88" s="6"/>
    </row>
    <row r="89" ht="15.75" customHeight="1">
      <c r="A89" s="67"/>
      <c r="B89" s="8"/>
      <c r="C89" s="8"/>
      <c r="D89" s="6"/>
      <c r="E89" s="6"/>
      <c r="F89" s="6"/>
      <c r="G89" s="6"/>
      <c r="H89" s="8"/>
      <c r="I89" s="8"/>
      <c r="J89" s="8"/>
      <c r="K89" s="8"/>
      <c r="M89" s="67"/>
      <c r="N89" s="6"/>
      <c r="O89" s="6"/>
      <c r="P89" s="6"/>
      <c r="Q89" s="6"/>
      <c r="R89" s="6"/>
      <c r="S89" s="6"/>
    </row>
    <row r="90" ht="15.75" customHeight="1">
      <c r="A90" s="67"/>
      <c r="B90" s="8"/>
      <c r="C90" s="8"/>
      <c r="D90" s="6"/>
      <c r="E90" s="6"/>
      <c r="F90" s="6"/>
      <c r="G90" s="6"/>
      <c r="H90" s="8"/>
      <c r="I90" s="8"/>
      <c r="J90" s="8"/>
      <c r="K90" s="8"/>
      <c r="M90" s="67"/>
      <c r="N90" s="6"/>
      <c r="O90" s="6"/>
      <c r="P90" s="6"/>
      <c r="Q90" s="6"/>
      <c r="R90" s="6"/>
      <c r="S90" s="6"/>
    </row>
    <row r="91" ht="15.75" customHeight="1">
      <c r="A91" s="67"/>
      <c r="B91" s="6"/>
      <c r="C91" s="6"/>
      <c r="D91" s="6"/>
      <c r="E91" s="6"/>
      <c r="F91" s="6"/>
      <c r="G91" s="6"/>
      <c r="H91" s="6"/>
      <c r="I91" s="6"/>
      <c r="J91" s="6"/>
      <c r="K91" s="6"/>
      <c r="M91" s="67"/>
      <c r="N91" s="6"/>
      <c r="O91" s="6"/>
      <c r="P91" s="6"/>
      <c r="Q91" s="6"/>
      <c r="R91" s="6"/>
      <c r="S91" s="6"/>
    </row>
    <row r="92" ht="15.75" customHeight="1">
      <c r="A92" s="67"/>
      <c r="B92" s="6"/>
      <c r="C92" s="6"/>
      <c r="D92" s="6"/>
      <c r="E92" s="6"/>
      <c r="F92" s="6"/>
      <c r="G92" s="6"/>
      <c r="H92" s="6"/>
      <c r="I92" s="6"/>
      <c r="J92" s="6"/>
      <c r="K92" s="6"/>
      <c r="M92" s="67"/>
      <c r="N92" s="6"/>
      <c r="O92" s="6"/>
      <c r="P92" s="6"/>
      <c r="Q92" s="6"/>
      <c r="R92" s="6"/>
      <c r="S92" s="6"/>
    </row>
    <row r="93" ht="15.75" customHeight="1">
      <c r="A93" s="67"/>
      <c r="B93" s="6"/>
      <c r="C93" s="6"/>
      <c r="D93" s="6"/>
      <c r="E93" s="6"/>
      <c r="F93" s="6"/>
      <c r="G93" s="6"/>
      <c r="H93" s="6"/>
      <c r="I93" s="6"/>
      <c r="J93" s="6"/>
      <c r="K93" s="6"/>
      <c r="M93" s="67"/>
      <c r="N93" s="6"/>
      <c r="O93" s="6"/>
      <c r="P93" s="6"/>
      <c r="Q93" s="6"/>
      <c r="R93" s="6"/>
      <c r="S93" s="6"/>
    </row>
    <row r="94" ht="15.75" customHeight="1">
      <c r="A94" s="67"/>
      <c r="B94" s="6"/>
      <c r="C94" s="6"/>
      <c r="D94" s="6"/>
      <c r="E94" s="6"/>
      <c r="F94" s="6"/>
      <c r="G94" s="6"/>
      <c r="H94" s="6"/>
      <c r="I94" s="6"/>
      <c r="J94" s="6"/>
      <c r="K94" s="6"/>
      <c r="M94" s="67"/>
      <c r="N94" s="6"/>
      <c r="O94" s="6"/>
      <c r="P94" s="6"/>
      <c r="Q94" s="6"/>
      <c r="R94" s="6"/>
      <c r="S94" s="6"/>
    </row>
    <row r="95" ht="15.75" customHeight="1">
      <c r="A95" s="67"/>
      <c r="B95" s="6"/>
      <c r="C95" s="6"/>
      <c r="D95" s="6"/>
      <c r="E95" s="6"/>
      <c r="F95" s="6"/>
      <c r="G95" s="6"/>
      <c r="H95" s="6"/>
      <c r="I95" s="6"/>
      <c r="J95" s="6"/>
      <c r="K95" s="6"/>
      <c r="M95" s="67"/>
      <c r="N95" s="6"/>
      <c r="O95" s="6"/>
      <c r="P95" s="6"/>
      <c r="Q95" s="6"/>
      <c r="R95" s="6"/>
      <c r="S95" s="6"/>
    </row>
    <row r="96" ht="15.75" customHeight="1">
      <c r="A96" s="67"/>
      <c r="B96" s="6"/>
      <c r="C96" s="6"/>
      <c r="D96" s="6"/>
      <c r="E96" s="6"/>
      <c r="F96" s="6"/>
      <c r="G96" s="6"/>
      <c r="H96" s="6"/>
      <c r="I96" s="6"/>
      <c r="J96" s="6"/>
      <c r="K96" s="6"/>
      <c r="M96" s="67"/>
      <c r="N96" s="6"/>
      <c r="O96" s="6"/>
      <c r="P96" s="6"/>
      <c r="Q96" s="6"/>
      <c r="R96" s="6"/>
      <c r="S96" s="6"/>
    </row>
    <row r="97" ht="15.75" customHeight="1">
      <c r="A97" s="67"/>
      <c r="B97" s="6"/>
      <c r="C97" s="6"/>
      <c r="D97" s="6"/>
      <c r="E97" s="6"/>
      <c r="F97" s="6"/>
      <c r="G97" s="6"/>
      <c r="H97" s="6"/>
      <c r="I97" s="6"/>
      <c r="J97" s="6"/>
      <c r="K97" s="6"/>
      <c r="M97" s="67"/>
      <c r="N97" s="6"/>
      <c r="O97" s="6"/>
      <c r="P97" s="6"/>
      <c r="Q97" s="6"/>
      <c r="R97" s="6"/>
      <c r="S97" s="6"/>
    </row>
    <row r="98" ht="15.75" customHeight="1">
      <c r="A98" s="67"/>
      <c r="B98" s="6"/>
      <c r="C98" s="6"/>
      <c r="D98" s="6"/>
      <c r="E98" s="6"/>
      <c r="F98" s="6"/>
      <c r="G98" s="6"/>
      <c r="H98" s="6"/>
      <c r="I98" s="6"/>
      <c r="J98" s="6"/>
      <c r="K98" s="6"/>
      <c r="M98" s="67"/>
      <c r="N98" s="6"/>
      <c r="O98" s="6"/>
      <c r="P98" s="6"/>
      <c r="Q98" s="6"/>
      <c r="R98" s="6"/>
      <c r="S98" s="6"/>
    </row>
    <row r="99" ht="15.75" customHeight="1">
      <c r="A99" s="67"/>
      <c r="B99" s="6"/>
      <c r="C99" s="6"/>
      <c r="D99" s="6"/>
      <c r="E99" s="6"/>
      <c r="F99" s="6"/>
      <c r="G99" s="6"/>
      <c r="H99" s="6"/>
      <c r="I99" s="6"/>
      <c r="J99" s="6"/>
      <c r="K99" s="6"/>
      <c r="M99" s="67"/>
      <c r="N99" s="6"/>
      <c r="O99" s="6"/>
      <c r="P99" s="6"/>
      <c r="Q99" s="6"/>
      <c r="R99" s="6"/>
      <c r="S99" s="6"/>
    </row>
    <row r="100" ht="15.75" customHeight="1">
      <c r="A100" s="67"/>
      <c r="B100" s="6"/>
      <c r="C100" s="6"/>
      <c r="D100" s="6"/>
      <c r="E100" s="6"/>
      <c r="F100" s="6"/>
      <c r="G100" s="6"/>
      <c r="H100" s="6"/>
      <c r="I100" s="6"/>
      <c r="J100" s="6"/>
      <c r="K100" s="6"/>
      <c r="M100" s="67"/>
      <c r="N100" s="6"/>
      <c r="O100" s="6"/>
      <c r="P100" s="6"/>
      <c r="Q100" s="6"/>
      <c r="R100" s="6"/>
      <c r="S100" s="6"/>
    </row>
    <row r="101" ht="15.75" customHeight="1">
      <c r="A101" s="67"/>
      <c r="B101" s="6"/>
      <c r="C101" s="6"/>
      <c r="D101" s="6"/>
      <c r="E101" s="6"/>
      <c r="F101" s="6"/>
      <c r="G101" s="6"/>
      <c r="H101" s="6"/>
      <c r="I101" s="6"/>
      <c r="J101" s="6"/>
      <c r="K101" s="6"/>
      <c r="M101" s="67"/>
      <c r="N101" s="6"/>
      <c r="O101" s="6"/>
      <c r="P101" s="6"/>
      <c r="Q101" s="6"/>
      <c r="R101" s="6"/>
      <c r="S101" s="6"/>
    </row>
    <row r="102" ht="15.75" customHeight="1">
      <c r="A102" s="67"/>
      <c r="B102" s="6"/>
      <c r="C102" s="6"/>
      <c r="D102" s="6"/>
      <c r="E102" s="6"/>
      <c r="F102" s="6"/>
      <c r="G102" s="6"/>
      <c r="H102" s="6"/>
      <c r="I102" s="6"/>
      <c r="J102" s="6"/>
      <c r="K102" s="6"/>
      <c r="M102" s="67"/>
      <c r="N102" s="6"/>
      <c r="O102" s="6"/>
      <c r="P102" s="6"/>
      <c r="Q102" s="6"/>
      <c r="R102" s="6"/>
      <c r="S102" s="6"/>
    </row>
    <row r="103" ht="15.75" customHeight="1">
      <c r="A103" s="67"/>
      <c r="B103" s="6"/>
      <c r="C103" s="6"/>
      <c r="D103" s="6"/>
      <c r="E103" s="6"/>
      <c r="F103" s="6"/>
      <c r="G103" s="6"/>
      <c r="H103" s="6"/>
      <c r="I103" s="6"/>
      <c r="J103" s="6"/>
      <c r="K103" s="6"/>
      <c r="M103" s="67"/>
      <c r="N103" s="6"/>
      <c r="O103" s="6"/>
      <c r="P103" s="6"/>
      <c r="Q103" s="6"/>
      <c r="R103" s="6"/>
      <c r="S103" s="6"/>
    </row>
    <row r="104" ht="15.75" customHeight="1">
      <c r="A104" s="67"/>
      <c r="B104" s="6"/>
      <c r="C104" s="6"/>
      <c r="D104" s="6"/>
      <c r="E104" s="6"/>
      <c r="F104" s="6"/>
      <c r="G104" s="6"/>
      <c r="H104" s="6"/>
      <c r="I104" s="6"/>
      <c r="J104" s="6"/>
      <c r="K104" s="6"/>
      <c r="M104" s="67"/>
      <c r="N104" s="6"/>
      <c r="O104" s="6"/>
      <c r="P104" s="6"/>
      <c r="Q104" s="6"/>
      <c r="R104" s="6"/>
      <c r="S104" s="6"/>
    </row>
    <row r="105" ht="15.75" customHeight="1">
      <c r="A105" s="67"/>
      <c r="B105" s="6"/>
      <c r="C105" s="6"/>
      <c r="D105" s="6"/>
      <c r="E105" s="6"/>
      <c r="F105" s="6"/>
      <c r="G105" s="6"/>
      <c r="H105" s="6"/>
      <c r="I105" s="6"/>
      <c r="J105" s="6"/>
      <c r="K105" s="6"/>
      <c r="M105" s="67"/>
      <c r="N105" s="6"/>
      <c r="O105" s="6"/>
      <c r="P105" s="6"/>
      <c r="Q105" s="6"/>
      <c r="R105" s="6"/>
      <c r="S105" s="6"/>
    </row>
    <row r="106" ht="15.75" customHeight="1">
      <c r="A106" s="67"/>
      <c r="B106" s="6"/>
      <c r="C106" s="6"/>
      <c r="D106" s="6"/>
      <c r="E106" s="6"/>
      <c r="F106" s="6"/>
      <c r="G106" s="6"/>
      <c r="H106" s="6"/>
      <c r="I106" s="6"/>
      <c r="J106" s="6"/>
      <c r="K106" s="6"/>
      <c r="M106" s="67"/>
      <c r="N106" s="6"/>
      <c r="O106" s="6"/>
      <c r="P106" s="6"/>
      <c r="Q106" s="6"/>
      <c r="R106" s="6"/>
      <c r="S106" s="6"/>
    </row>
    <row r="107" ht="15.75" customHeight="1">
      <c r="A107" s="67"/>
      <c r="B107" s="6"/>
      <c r="C107" s="6"/>
      <c r="D107" s="6"/>
      <c r="E107" s="6"/>
      <c r="F107" s="6"/>
      <c r="G107" s="6"/>
      <c r="H107" s="6"/>
      <c r="I107" s="6"/>
      <c r="J107" s="6"/>
      <c r="K107" s="6"/>
      <c r="M107" s="67"/>
      <c r="N107" s="6"/>
      <c r="O107" s="6"/>
      <c r="P107" s="6"/>
      <c r="Q107" s="6"/>
      <c r="R107" s="6"/>
      <c r="S107" s="6"/>
    </row>
    <row r="108" ht="15.75" customHeight="1">
      <c r="A108" s="67"/>
      <c r="B108" s="6"/>
      <c r="C108" s="6"/>
      <c r="D108" s="6"/>
      <c r="E108" s="6"/>
      <c r="F108" s="6"/>
      <c r="G108" s="6"/>
      <c r="H108" s="6"/>
      <c r="I108" s="6"/>
      <c r="J108" s="6"/>
      <c r="K108" s="6"/>
      <c r="M108" s="67"/>
      <c r="N108" s="6"/>
      <c r="O108" s="6"/>
      <c r="P108" s="6"/>
      <c r="Q108" s="6"/>
      <c r="R108" s="6"/>
      <c r="S108" s="6"/>
    </row>
    <row r="109" ht="15.75" customHeight="1">
      <c r="A109" s="67"/>
      <c r="B109" s="6"/>
      <c r="C109" s="6"/>
      <c r="D109" s="6"/>
      <c r="E109" s="6"/>
      <c r="F109" s="6"/>
      <c r="G109" s="6"/>
      <c r="H109" s="6"/>
      <c r="I109" s="6"/>
      <c r="J109" s="6"/>
      <c r="K109" s="6"/>
      <c r="M109" s="67"/>
      <c r="N109" s="6"/>
      <c r="O109" s="6"/>
      <c r="P109" s="6"/>
      <c r="Q109" s="6"/>
      <c r="R109" s="6"/>
      <c r="S109" s="6"/>
    </row>
    <row r="110" ht="15.75" customHeight="1">
      <c r="A110" s="67"/>
      <c r="B110" s="6"/>
      <c r="C110" s="6"/>
      <c r="D110" s="6"/>
      <c r="E110" s="6"/>
      <c r="F110" s="6"/>
      <c r="G110" s="6"/>
      <c r="H110" s="6"/>
      <c r="I110" s="6"/>
      <c r="J110" s="6"/>
      <c r="K110" s="6"/>
      <c r="M110" s="67"/>
      <c r="N110" s="6"/>
      <c r="O110" s="6"/>
      <c r="P110" s="6"/>
      <c r="Q110" s="6"/>
      <c r="R110" s="6"/>
      <c r="S110" s="6"/>
    </row>
    <row r="111" ht="15.75" customHeight="1">
      <c r="A111" s="67"/>
      <c r="B111" s="6"/>
      <c r="C111" s="6"/>
      <c r="D111" s="6"/>
      <c r="E111" s="6"/>
      <c r="F111" s="6"/>
      <c r="G111" s="6"/>
      <c r="H111" s="6"/>
      <c r="I111" s="6"/>
      <c r="J111" s="6"/>
      <c r="K111" s="6"/>
      <c r="M111" s="67"/>
      <c r="N111" s="6"/>
      <c r="O111" s="6"/>
      <c r="P111" s="6"/>
      <c r="Q111" s="6"/>
      <c r="R111" s="6"/>
      <c r="S111" s="6"/>
    </row>
    <row r="112" ht="15.75" customHeight="1">
      <c r="A112" s="67"/>
      <c r="B112" s="6"/>
      <c r="C112" s="6"/>
      <c r="D112" s="6"/>
      <c r="E112" s="6"/>
      <c r="F112" s="6"/>
      <c r="G112" s="6"/>
      <c r="H112" s="6"/>
      <c r="I112" s="6"/>
      <c r="J112" s="6"/>
      <c r="K112" s="6"/>
      <c r="M112" s="67"/>
      <c r="N112" s="6"/>
      <c r="O112" s="6"/>
      <c r="P112" s="6"/>
      <c r="Q112" s="6"/>
      <c r="R112" s="6"/>
      <c r="S112" s="6"/>
    </row>
    <row r="113" ht="15.75" customHeight="1">
      <c r="A113" s="67"/>
      <c r="B113" s="6"/>
      <c r="C113" s="6"/>
      <c r="D113" s="6"/>
      <c r="E113" s="6"/>
      <c r="F113" s="6"/>
      <c r="G113" s="6"/>
      <c r="H113" s="6"/>
      <c r="I113" s="6"/>
      <c r="J113" s="6"/>
      <c r="K113" s="6"/>
      <c r="M113" s="67"/>
      <c r="N113" s="6"/>
      <c r="O113" s="6"/>
      <c r="P113" s="6"/>
      <c r="Q113" s="6"/>
      <c r="R113" s="6"/>
      <c r="S113" s="6"/>
    </row>
    <row r="114" ht="15.75" customHeight="1">
      <c r="A114" s="67"/>
      <c r="B114" s="6"/>
      <c r="C114" s="6"/>
      <c r="D114" s="6"/>
      <c r="E114" s="6"/>
      <c r="F114" s="6"/>
      <c r="G114" s="6"/>
      <c r="H114" s="6"/>
      <c r="I114" s="6"/>
      <c r="J114" s="6"/>
      <c r="K114" s="6"/>
      <c r="M114" s="67"/>
      <c r="N114" s="6"/>
      <c r="O114" s="6"/>
      <c r="P114" s="6"/>
      <c r="Q114" s="6"/>
      <c r="R114" s="6"/>
      <c r="S114" s="6"/>
    </row>
    <row r="115" ht="15.75" customHeight="1">
      <c r="A115" s="67"/>
      <c r="B115" s="6"/>
      <c r="C115" s="6"/>
      <c r="D115" s="6"/>
      <c r="E115" s="6"/>
      <c r="F115" s="6"/>
      <c r="G115" s="6"/>
      <c r="H115" s="6"/>
      <c r="I115" s="6"/>
      <c r="J115" s="6"/>
      <c r="K115" s="6"/>
      <c r="M115" s="67"/>
      <c r="N115" s="6"/>
      <c r="O115" s="6"/>
      <c r="P115" s="6"/>
      <c r="Q115" s="6"/>
      <c r="R115" s="6"/>
      <c r="S115" s="6"/>
    </row>
    <row r="116" ht="15.75" customHeight="1">
      <c r="A116" s="67"/>
      <c r="B116" s="6"/>
      <c r="C116" s="6"/>
      <c r="D116" s="6"/>
      <c r="E116" s="6"/>
      <c r="F116" s="6"/>
      <c r="G116" s="6"/>
      <c r="H116" s="6"/>
      <c r="I116" s="6"/>
      <c r="J116" s="6"/>
      <c r="K116" s="6"/>
      <c r="M116" s="67"/>
      <c r="N116" s="6"/>
      <c r="O116" s="6"/>
      <c r="P116" s="6"/>
      <c r="Q116" s="6"/>
      <c r="R116" s="6"/>
      <c r="S116" s="6"/>
    </row>
    <row r="117" ht="15.75" customHeight="1">
      <c r="A117" s="67"/>
      <c r="B117" s="6"/>
      <c r="C117" s="6"/>
      <c r="D117" s="6"/>
      <c r="E117" s="6"/>
      <c r="F117" s="6"/>
      <c r="G117" s="6"/>
      <c r="H117" s="6"/>
      <c r="I117" s="6"/>
      <c r="J117" s="6"/>
      <c r="K117" s="6"/>
      <c r="M117" s="67"/>
      <c r="N117" s="6"/>
      <c r="O117" s="6"/>
      <c r="P117" s="6"/>
      <c r="Q117" s="6"/>
      <c r="R117" s="6"/>
      <c r="S117" s="6"/>
    </row>
    <row r="118" ht="15.75" customHeight="1">
      <c r="A118" s="67"/>
      <c r="B118" s="6"/>
      <c r="C118" s="6"/>
      <c r="D118" s="6"/>
      <c r="E118" s="6"/>
      <c r="F118" s="6"/>
      <c r="G118" s="6"/>
      <c r="H118" s="6"/>
      <c r="I118" s="6"/>
      <c r="J118" s="6"/>
      <c r="K118" s="6"/>
      <c r="M118" s="67"/>
      <c r="N118" s="6"/>
      <c r="O118" s="6"/>
      <c r="P118" s="6"/>
      <c r="Q118" s="6"/>
      <c r="R118" s="6"/>
      <c r="S118" s="6"/>
    </row>
    <row r="119" ht="15.75" customHeight="1">
      <c r="A119" s="67"/>
      <c r="B119" s="6"/>
      <c r="C119" s="6"/>
      <c r="D119" s="6"/>
      <c r="E119" s="6"/>
      <c r="F119" s="6"/>
      <c r="G119" s="6"/>
      <c r="H119" s="6"/>
      <c r="I119" s="6"/>
      <c r="J119" s="6"/>
      <c r="K119" s="6"/>
      <c r="M119" s="67"/>
      <c r="N119" s="6"/>
      <c r="O119" s="6"/>
      <c r="P119" s="6"/>
      <c r="Q119" s="6"/>
      <c r="R119" s="6"/>
      <c r="S119" s="6"/>
    </row>
    <row r="120" ht="15.75" customHeight="1">
      <c r="A120" s="67"/>
      <c r="B120" s="6"/>
      <c r="C120" s="6"/>
      <c r="D120" s="6"/>
      <c r="E120" s="6"/>
      <c r="F120" s="6"/>
      <c r="G120" s="6"/>
      <c r="H120" s="6"/>
      <c r="I120" s="6"/>
      <c r="J120" s="6"/>
      <c r="K120" s="6"/>
      <c r="M120" s="67"/>
      <c r="N120" s="6"/>
      <c r="O120" s="6"/>
      <c r="P120" s="6"/>
      <c r="Q120" s="6"/>
      <c r="R120" s="6"/>
      <c r="S120" s="6"/>
    </row>
    <row r="121" ht="15.75" customHeight="1">
      <c r="A121" s="67"/>
      <c r="B121" s="6"/>
      <c r="C121" s="6"/>
      <c r="D121" s="6"/>
      <c r="E121" s="6"/>
      <c r="F121" s="6"/>
      <c r="G121" s="6"/>
      <c r="H121" s="6"/>
      <c r="I121" s="6"/>
      <c r="J121" s="6"/>
      <c r="K121" s="6"/>
      <c r="M121" s="67"/>
      <c r="N121" s="6"/>
      <c r="O121" s="6"/>
      <c r="P121" s="6"/>
      <c r="Q121" s="6"/>
      <c r="R121" s="6"/>
      <c r="S121" s="6"/>
    </row>
    <row r="122" ht="15.75" customHeight="1">
      <c r="A122" s="67"/>
      <c r="B122" s="6"/>
      <c r="C122" s="6"/>
      <c r="D122" s="6"/>
      <c r="E122" s="6"/>
      <c r="F122" s="6"/>
      <c r="G122" s="6"/>
      <c r="H122" s="6"/>
      <c r="I122" s="6"/>
      <c r="J122" s="6"/>
      <c r="K122" s="6"/>
      <c r="M122" s="67"/>
      <c r="N122" s="6"/>
      <c r="O122" s="6"/>
      <c r="P122" s="6"/>
      <c r="Q122" s="6"/>
      <c r="R122" s="6"/>
      <c r="S122" s="6"/>
    </row>
    <row r="123" ht="15.75" customHeight="1">
      <c r="A123" s="67"/>
      <c r="B123" s="6"/>
      <c r="C123" s="6"/>
      <c r="D123" s="6"/>
      <c r="E123" s="6"/>
      <c r="F123" s="6"/>
      <c r="G123" s="6"/>
      <c r="H123" s="6"/>
      <c r="I123" s="6"/>
      <c r="J123" s="6"/>
      <c r="K123" s="6"/>
      <c r="M123" s="67"/>
      <c r="N123" s="6"/>
      <c r="O123" s="6"/>
      <c r="P123" s="6"/>
      <c r="Q123" s="6"/>
      <c r="R123" s="6"/>
      <c r="S123" s="6"/>
    </row>
    <row r="124" ht="15.75" customHeight="1">
      <c r="A124" s="67"/>
      <c r="B124" s="6"/>
      <c r="C124" s="6"/>
      <c r="D124" s="6"/>
      <c r="E124" s="6"/>
      <c r="F124" s="6"/>
      <c r="G124" s="6"/>
      <c r="H124" s="6"/>
      <c r="I124" s="6"/>
      <c r="J124" s="6"/>
      <c r="K124" s="6"/>
      <c r="M124" s="67"/>
      <c r="N124" s="6"/>
      <c r="O124" s="6"/>
      <c r="P124" s="6"/>
      <c r="Q124" s="6"/>
      <c r="R124" s="6"/>
      <c r="S124" s="6"/>
    </row>
    <row r="125" ht="15.75" customHeight="1">
      <c r="A125" s="67"/>
      <c r="B125" s="6"/>
      <c r="C125" s="6"/>
      <c r="D125" s="6"/>
      <c r="E125" s="6"/>
      <c r="F125" s="6"/>
      <c r="G125" s="6"/>
      <c r="H125" s="6"/>
      <c r="I125" s="6"/>
      <c r="J125" s="6"/>
      <c r="K125" s="6"/>
      <c r="M125" s="67"/>
      <c r="N125" s="6"/>
      <c r="O125" s="6"/>
      <c r="P125" s="6"/>
      <c r="Q125" s="6"/>
      <c r="R125" s="6"/>
      <c r="S125" s="6"/>
    </row>
    <row r="126" ht="15.75" customHeight="1">
      <c r="A126" s="67"/>
      <c r="B126" s="6"/>
      <c r="C126" s="6"/>
      <c r="D126" s="6"/>
      <c r="E126" s="6"/>
      <c r="F126" s="6"/>
      <c r="G126" s="6"/>
      <c r="H126" s="6"/>
      <c r="I126" s="6"/>
      <c r="J126" s="6"/>
      <c r="K126" s="6"/>
      <c r="M126" s="67"/>
      <c r="N126" s="6"/>
      <c r="O126" s="6"/>
      <c r="P126" s="6"/>
      <c r="Q126" s="6"/>
      <c r="R126" s="6"/>
      <c r="S126" s="6"/>
    </row>
    <row r="127" ht="15.75" customHeight="1">
      <c r="A127" s="67"/>
      <c r="B127" s="6"/>
      <c r="C127" s="6"/>
      <c r="D127" s="6"/>
      <c r="E127" s="6"/>
      <c r="F127" s="6"/>
      <c r="G127" s="6"/>
      <c r="H127" s="6"/>
      <c r="I127" s="6"/>
      <c r="J127" s="6"/>
      <c r="K127" s="6"/>
      <c r="M127" s="67"/>
      <c r="N127" s="6"/>
      <c r="O127" s="6"/>
      <c r="P127" s="6"/>
      <c r="Q127" s="6"/>
      <c r="R127" s="6"/>
      <c r="S127" s="6"/>
    </row>
    <row r="128" ht="15.75" customHeight="1">
      <c r="A128" s="67"/>
      <c r="B128" s="6"/>
      <c r="C128" s="6"/>
      <c r="D128" s="6"/>
      <c r="E128" s="6"/>
      <c r="F128" s="6"/>
      <c r="G128" s="6"/>
      <c r="H128" s="6"/>
      <c r="I128" s="6"/>
      <c r="J128" s="6"/>
      <c r="K128" s="6"/>
      <c r="M128" s="67"/>
      <c r="N128" s="6"/>
      <c r="O128" s="6"/>
      <c r="P128" s="6"/>
      <c r="Q128" s="6"/>
      <c r="R128" s="6"/>
      <c r="S128" s="6"/>
    </row>
    <row r="129" ht="15.75" customHeight="1">
      <c r="A129" s="67"/>
      <c r="B129" s="6"/>
      <c r="C129" s="6"/>
      <c r="D129" s="6"/>
      <c r="E129" s="6"/>
      <c r="F129" s="6"/>
      <c r="G129" s="6"/>
      <c r="H129" s="6"/>
      <c r="I129" s="6"/>
      <c r="J129" s="6"/>
      <c r="K129" s="6"/>
      <c r="M129" s="67"/>
      <c r="N129" s="6"/>
      <c r="O129" s="6"/>
      <c r="P129" s="6"/>
      <c r="Q129" s="6"/>
      <c r="R129" s="6"/>
      <c r="S129" s="6"/>
    </row>
    <row r="130" ht="15.75" customHeight="1">
      <c r="A130" s="67"/>
      <c r="B130" s="6"/>
      <c r="C130" s="6"/>
      <c r="D130" s="6"/>
      <c r="E130" s="6"/>
      <c r="F130" s="6"/>
      <c r="G130" s="6"/>
      <c r="H130" s="6"/>
      <c r="I130" s="6"/>
      <c r="J130" s="6"/>
      <c r="K130" s="6"/>
      <c r="M130" s="67"/>
      <c r="N130" s="6"/>
      <c r="O130" s="6"/>
      <c r="P130" s="6"/>
      <c r="Q130" s="6"/>
      <c r="R130" s="6"/>
      <c r="S130" s="6"/>
    </row>
    <row r="131" ht="15.75" customHeight="1">
      <c r="A131" s="67"/>
      <c r="B131" s="6"/>
      <c r="C131" s="6"/>
      <c r="D131" s="6"/>
      <c r="E131" s="6"/>
      <c r="F131" s="6"/>
      <c r="G131" s="6"/>
      <c r="H131" s="6"/>
      <c r="I131" s="6"/>
      <c r="J131" s="6"/>
      <c r="K131" s="6"/>
      <c r="M131" s="67"/>
      <c r="N131" s="6"/>
      <c r="O131" s="6"/>
      <c r="P131" s="6"/>
      <c r="Q131" s="6"/>
      <c r="R131" s="6"/>
      <c r="S131" s="6"/>
    </row>
    <row r="132" ht="15.75" customHeight="1">
      <c r="A132" s="67"/>
      <c r="B132" s="6"/>
      <c r="C132" s="6"/>
      <c r="D132" s="6"/>
      <c r="E132" s="6"/>
      <c r="F132" s="6"/>
      <c r="G132" s="6"/>
      <c r="H132" s="6"/>
      <c r="I132" s="6"/>
      <c r="J132" s="6"/>
      <c r="K132" s="6"/>
      <c r="M132" s="67"/>
      <c r="N132" s="6"/>
      <c r="O132" s="6"/>
      <c r="P132" s="6"/>
      <c r="Q132" s="6"/>
      <c r="R132" s="6"/>
      <c r="S132" s="6"/>
    </row>
    <row r="133" ht="15.75" customHeight="1">
      <c r="A133" s="67"/>
      <c r="B133" s="6"/>
      <c r="C133" s="6"/>
      <c r="D133" s="6"/>
      <c r="E133" s="6"/>
      <c r="F133" s="6"/>
      <c r="G133" s="6"/>
      <c r="H133" s="6"/>
      <c r="I133" s="6"/>
      <c r="J133" s="6"/>
      <c r="K133" s="6"/>
      <c r="M133" s="67"/>
      <c r="N133" s="6"/>
      <c r="O133" s="6"/>
      <c r="P133" s="6"/>
      <c r="Q133" s="6"/>
      <c r="R133" s="6"/>
      <c r="S133" s="6"/>
    </row>
    <row r="134" ht="15.75" customHeight="1">
      <c r="A134" s="67"/>
      <c r="B134" s="6"/>
      <c r="C134" s="6"/>
      <c r="D134" s="6"/>
      <c r="E134" s="6"/>
      <c r="F134" s="6"/>
      <c r="G134" s="6"/>
      <c r="H134" s="6"/>
      <c r="I134" s="6"/>
      <c r="J134" s="6"/>
      <c r="K134" s="6"/>
      <c r="M134" s="67"/>
      <c r="N134" s="6"/>
      <c r="O134" s="6"/>
      <c r="P134" s="6"/>
      <c r="Q134" s="6"/>
      <c r="R134" s="6"/>
      <c r="S134" s="6"/>
    </row>
    <row r="135" ht="15.75" customHeight="1">
      <c r="A135" s="67"/>
      <c r="B135" s="6"/>
      <c r="C135" s="6"/>
      <c r="D135" s="6"/>
      <c r="E135" s="6"/>
      <c r="F135" s="6"/>
      <c r="G135" s="6"/>
      <c r="H135" s="6"/>
      <c r="I135" s="6"/>
      <c r="J135" s="6"/>
      <c r="K135" s="6"/>
      <c r="M135" s="67"/>
      <c r="N135" s="6"/>
      <c r="O135" s="6"/>
      <c r="P135" s="6"/>
      <c r="Q135" s="6"/>
      <c r="R135" s="6"/>
      <c r="S135" s="6"/>
    </row>
    <row r="136" ht="15.75" customHeight="1">
      <c r="A136" s="67"/>
      <c r="B136" s="6"/>
      <c r="C136" s="6"/>
      <c r="D136" s="6"/>
      <c r="E136" s="6"/>
      <c r="F136" s="6"/>
      <c r="G136" s="6"/>
      <c r="H136" s="6"/>
      <c r="I136" s="6"/>
      <c r="J136" s="6"/>
      <c r="K136" s="6"/>
      <c r="M136" s="67"/>
      <c r="N136" s="6"/>
      <c r="O136" s="6"/>
      <c r="P136" s="6"/>
      <c r="Q136" s="6"/>
      <c r="R136" s="6"/>
      <c r="S136" s="6"/>
    </row>
    <row r="137" ht="15.75" customHeight="1">
      <c r="A137" s="67"/>
      <c r="B137" s="6"/>
      <c r="C137" s="6"/>
      <c r="D137" s="6"/>
      <c r="E137" s="6"/>
      <c r="F137" s="6"/>
      <c r="G137" s="6"/>
      <c r="H137" s="6"/>
      <c r="I137" s="6"/>
      <c r="J137" s="6"/>
      <c r="K137" s="6"/>
      <c r="M137" s="67"/>
      <c r="N137" s="6"/>
      <c r="O137" s="6"/>
      <c r="P137" s="6"/>
      <c r="Q137" s="6"/>
      <c r="R137" s="6"/>
      <c r="S137" s="6"/>
    </row>
    <row r="138" ht="15.75" customHeight="1">
      <c r="A138" s="67"/>
      <c r="B138" s="6"/>
      <c r="C138" s="6"/>
      <c r="D138" s="6"/>
      <c r="E138" s="6"/>
      <c r="F138" s="6"/>
      <c r="G138" s="6"/>
      <c r="H138" s="6"/>
      <c r="I138" s="6"/>
      <c r="J138" s="6"/>
      <c r="K138" s="6"/>
      <c r="M138" s="67"/>
      <c r="N138" s="6"/>
      <c r="O138" s="6"/>
      <c r="P138" s="6"/>
      <c r="Q138" s="6"/>
      <c r="R138" s="6"/>
      <c r="S138" s="6"/>
    </row>
    <row r="139" ht="15.75" customHeight="1">
      <c r="A139" s="67"/>
      <c r="B139" s="6"/>
      <c r="C139" s="6"/>
      <c r="D139" s="6"/>
      <c r="E139" s="6"/>
      <c r="F139" s="6"/>
      <c r="G139" s="6"/>
      <c r="H139" s="6"/>
      <c r="I139" s="6"/>
      <c r="J139" s="6"/>
      <c r="K139" s="6"/>
      <c r="M139" s="67"/>
      <c r="N139" s="6"/>
      <c r="O139" s="6"/>
      <c r="P139" s="6"/>
      <c r="Q139" s="6"/>
      <c r="R139" s="6"/>
      <c r="S139" s="6"/>
    </row>
    <row r="140" ht="15.75" customHeight="1">
      <c r="A140" s="67"/>
      <c r="B140" s="6"/>
      <c r="C140" s="6"/>
      <c r="D140" s="6"/>
      <c r="E140" s="6"/>
      <c r="F140" s="6"/>
      <c r="G140" s="6"/>
      <c r="H140" s="6"/>
      <c r="I140" s="6"/>
      <c r="J140" s="6"/>
      <c r="K140" s="6"/>
      <c r="M140" s="67"/>
      <c r="N140" s="6"/>
      <c r="O140" s="6"/>
      <c r="P140" s="6"/>
      <c r="Q140" s="6"/>
      <c r="R140" s="6"/>
      <c r="S140" s="6"/>
    </row>
    <row r="141" ht="15.75" customHeight="1">
      <c r="A141" s="67"/>
      <c r="B141" s="6"/>
      <c r="C141" s="6"/>
      <c r="D141" s="6"/>
      <c r="E141" s="6"/>
      <c r="F141" s="6"/>
      <c r="G141" s="6"/>
      <c r="H141" s="6"/>
      <c r="I141" s="6"/>
      <c r="J141" s="6"/>
      <c r="K141" s="6"/>
      <c r="M141" s="67"/>
      <c r="N141" s="6"/>
      <c r="O141" s="6"/>
      <c r="P141" s="6"/>
      <c r="Q141" s="6"/>
      <c r="R141" s="6"/>
      <c r="S141" s="6"/>
    </row>
    <row r="142" ht="15.75" customHeight="1">
      <c r="A142" s="67"/>
      <c r="B142" s="6"/>
      <c r="C142" s="6"/>
      <c r="D142" s="6"/>
      <c r="E142" s="6"/>
      <c r="F142" s="6"/>
      <c r="G142" s="6"/>
      <c r="H142" s="6"/>
      <c r="I142" s="6"/>
      <c r="J142" s="6"/>
      <c r="K142" s="6"/>
      <c r="M142" s="67"/>
      <c r="N142" s="6"/>
      <c r="O142" s="6"/>
      <c r="P142" s="6"/>
      <c r="Q142" s="6"/>
      <c r="R142" s="6"/>
      <c r="S142" s="6"/>
    </row>
    <row r="143" ht="15.75" customHeight="1">
      <c r="A143" s="67"/>
      <c r="B143" s="6"/>
      <c r="C143" s="6"/>
      <c r="D143" s="6"/>
      <c r="E143" s="6"/>
      <c r="F143" s="6"/>
      <c r="G143" s="6"/>
      <c r="H143" s="6"/>
      <c r="I143" s="6"/>
      <c r="J143" s="6"/>
      <c r="K143" s="6"/>
      <c r="M143" s="67"/>
      <c r="N143" s="6"/>
      <c r="O143" s="6"/>
      <c r="P143" s="6"/>
      <c r="Q143" s="6"/>
      <c r="R143" s="6"/>
      <c r="S143" s="6"/>
    </row>
    <row r="144" ht="15.75" customHeight="1">
      <c r="A144" s="67"/>
      <c r="B144" s="6"/>
      <c r="C144" s="6"/>
      <c r="D144" s="6"/>
      <c r="E144" s="6"/>
      <c r="F144" s="6"/>
      <c r="G144" s="6"/>
      <c r="H144" s="6"/>
      <c r="I144" s="6"/>
      <c r="J144" s="6"/>
      <c r="K144" s="6"/>
      <c r="M144" s="67"/>
      <c r="N144" s="6"/>
      <c r="O144" s="6"/>
      <c r="P144" s="6"/>
      <c r="Q144" s="6"/>
      <c r="R144" s="6"/>
      <c r="S144" s="6"/>
    </row>
    <row r="145" ht="15.75" customHeight="1">
      <c r="A145" s="67"/>
      <c r="B145" s="6"/>
      <c r="C145" s="6"/>
      <c r="D145" s="6"/>
      <c r="E145" s="6"/>
      <c r="F145" s="6"/>
      <c r="G145" s="6"/>
      <c r="H145" s="6"/>
      <c r="I145" s="6"/>
      <c r="J145" s="6"/>
      <c r="K145" s="6"/>
      <c r="M145" s="67"/>
      <c r="N145" s="6"/>
      <c r="O145" s="6"/>
      <c r="P145" s="6"/>
      <c r="Q145" s="6"/>
      <c r="R145" s="6"/>
      <c r="S145" s="6"/>
    </row>
    <row r="146" ht="15.75" customHeight="1">
      <c r="A146" s="67"/>
      <c r="B146" s="6"/>
      <c r="C146" s="6"/>
      <c r="D146" s="6"/>
      <c r="E146" s="6"/>
      <c r="F146" s="6"/>
      <c r="G146" s="6"/>
      <c r="H146" s="6"/>
      <c r="I146" s="6"/>
      <c r="J146" s="6"/>
      <c r="K146" s="6"/>
      <c r="M146" s="67"/>
      <c r="N146" s="6"/>
      <c r="O146" s="6"/>
      <c r="P146" s="6"/>
      <c r="Q146" s="6"/>
      <c r="R146" s="6"/>
      <c r="S146" s="6"/>
    </row>
    <row r="147" ht="15.75" customHeight="1">
      <c r="A147" s="67"/>
      <c r="B147" s="6"/>
      <c r="C147" s="6"/>
      <c r="D147" s="6"/>
      <c r="E147" s="6"/>
      <c r="F147" s="6"/>
      <c r="G147" s="6"/>
      <c r="H147" s="6"/>
      <c r="I147" s="6"/>
      <c r="J147" s="6"/>
      <c r="K147" s="6"/>
      <c r="M147" s="67"/>
      <c r="N147" s="6"/>
      <c r="O147" s="6"/>
      <c r="P147" s="6"/>
      <c r="Q147" s="6"/>
      <c r="R147" s="6"/>
      <c r="S147" s="6"/>
    </row>
    <row r="148" ht="15.75" customHeight="1">
      <c r="A148" s="67"/>
      <c r="B148" s="6"/>
      <c r="C148" s="6"/>
      <c r="D148" s="6"/>
      <c r="E148" s="6"/>
      <c r="F148" s="6"/>
      <c r="G148" s="6"/>
      <c r="H148" s="6"/>
      <c r="I148" s="6"/>
      <c r="J148" s="6"/>
      <c r="K148" s="6"/>
      <c r="M148" s="67"/>
      <c r="N148" s="6"/>
      <c r="O148" s="6"/>
      <c r="P148" s="6"/>
      <c r="Q148" s="6"/>
      <c r="R148" s="6"/>
      <c r="S148" s="6"/>
    </row>
    <row r="149" ht="15.75" customHeight="1">
      <c r="A149" s="67"/>
      <c r="B149" s="6"/>
      <c r="C149" s="6"/>
      <c r="D149" s="6"/>
      <c r="E149" s="6"/>
      <c r="F149" s="6"/>
      <c r="G149" s="6"/>
      <c r="H149" s="6"/>
      <c r="I149" s="6"/>
      <c r="J149" s="6"/>
      <c r="K149" s="6"/>
      <c r="M149" s="67"/>
      <c r="N149" s="6"/>
      <c r="O149" s="6"/>
      <c r="P149" s="6"/>
      <c r="Q149" s="6"/>
      <c r="R149" s="6"/>
      <c r="S149" s="6"/>
    </row>
    <row r="150" ht="15.75" customHeight="1">
      <c r="A150" s="67"/>
      <c r="B150" s="6"/>
      <c r="C150" s="6"/>
      <c r="D150" s="6"/>
      <c r="E150" s="6"/>
      <c r="F150" s="6"/>
      <c r="G150" s="6"/>
      <c r="H150" s="6"/>
      <c r="I150" s="6"/>
      <c r="J150" s="6"/>
      <c r="K150" s="6"/>
      <c r="M150" s="67"/>
      <c r="N150" s="6"/>
      <c r="O150" s="6"/>
      <c r="P150" s="6"/>
      <c r="Q150" s="6"/>
      <c r="R150" s="6"/>
      <c r="S150" s="6"/>
    </row>
    <row r="151" ht="15.75" customHeight="1">
      <c r="A151" s="67"/>
      <c r="B151" s="6"/>
      <c r="C151" s="6"/>
      <c r="D151" s="6"/>
      <c r="E151" s="6"/>
      <c r="F151" s="6"/>
      <c r="G151" s="6"/>
      <c r="H151" s="6"/>
      <c r="I151" s="6"/>
      <c r="J151" s="6"/>
      <c r="K151" s="6"/>
      <c r="M151" s="67"/>
      <c r="N151" s="6"/>
      <c r="O151" s="6"/>
      <c r="P151" s="6"/>
      <c r="Q151" s="6"/>
      <c r="R151" s="6"/>
      <c r="S151" s="6"/>
    </row>
    <row r="152" ht="15.75" customHeight="1">
      <c r="A152" s="67"/>
      <c r="B152" s="6"/>
      <c r="C152" s="6"/>
      <c r="D152" s="6"/>
      <c r="E152" s="6"/>
      <c r="F152" s="6"/>
      <c r="G152" s="6"/>
      <c r="H152" s="6"/>
      <c r="I152" s="6"/>
      <c r="J152" s="6"/>
      <c r="K152" s="6"/>
      <c r="M152" s="67"/>
      <c r="N152" s="6"/>
      <c r="O152" s="6"/>
      <c r="P152" s="6"/>
      <c r="Q152" s="6"/>
      <c r="R152" s="6"/>
      <c r="S152" s="6"/>
    </row>
    <row r="153" ht="15.75" customHeight="1">
      <c r="A153" s="67"/>
      <c r="B153" s="6"/>
      <c r="C153" s="6"/>
      <c r="D153" s="6"/>
      <c r="E153" s="6"/>
      <c r="F153" s="6"/>
      <c r="G153" s="6"/>
      <c r="H153" s="6"/>
      <c r="I153" s="6"/>
      <c r="J153" s="6"/>
      <c r="K153" s="6"/>
      <c r="M153" s="67"/>
      <c r="N153" s="6"/>
      <c r="O153" s="6"/>
      <c r="P153" s="6"/>
      <c r="Q153" s="6"/>
      <c r="R153" s="6"/>
      <c r="S153" s="6"/>
    </row>
    <row r="154" ht="15.75" customHeight="1">
      <c r="A154" s="67"/>
      <c r="B154" s="6"/>
      <c r="C154" s="6"/>
      <c r="D154" s="6"/>
      <c r="E154" s="6"/>
      <c r="F154" s="6"/>
      <c r="G154" s="6"/>
      <c r="H154" s="6"/>
      <c r="I154" s="6"/>
      <c r="J154" s="6"/>
      <c r="K154" s="6"/>
      <c r="M154" s="67"/>
      <c r="N154" s="6"/>
      <c r="O154" s="6"/>
      <c r="P154" s="6"/>
      <c r="Q154" s="6"/>
      <c r="R154" s="6"/>
      <c r="S154" s="6"/>
    </row>
    <row r="155" ht="15.75" customHeight="1">
      <c r="A155" s="67"/>
      <c r="B155" s="6"/>
      <c r="C155" s="6"/>
      <c r="D155" s="6"/>
      <c r="E155" s="6"/>
      <c r="F155" s="6"/>
      <c r="G155" s="6"/>
      <c r="H155" s="6"/>
      <c r="I155" s="6"/>
      <c r="J155" s="6"/>
      <c r="K155" s="6"/>
      <c r="M155" s="67"/>
      <c r="N155" s="6"/>
      <c r="O155" s="6"/>
      <c r="P155" s="6"/>
      <c r="Q155" s="6"/>
      <c r="R155" s="6"/>
      <c r="S155" s="6"/>
    </row>
    <row r="156" ht="15.75" customHeight="1">
      <c r="A156" s="67"/>
      <c r="B156" s="6"/>
      <c r="C156" s="6"/>
      <c r="D156" s="6"/>
      <c r="E156" s="6"/>
      <c r="F156" s="6"/>
      <c r="G156" s="6"/>
      <c r="H156" s="6"/>
      <c r="I156" s="6"/>
      <c r="J156" s="6"/>
      <c r="K156" s="6"/>
      <c r="M156" s="67"/>
      <c r="N156" s="6"/>
      <c r="O156" s="6"/>
      <c r="P156" s="6"/>
      <c r="Q156" s="6"/>
      <c r="R156" s="6"/>
      <c r="S156" s="6"/>
    </row>
    <row r="157" ht="15.75" customHeight="1">
      <c r="A157" s="67"/>
      <c r="B157" s="6"/>
      <c r="C157" s="6"/>
      <c r="D157" s="6"/>
      <c r="E157" s="6"/>
      <c r="F157" s="6"/>
      <c r="G157" s="6"/>
      <c r="H157" s="6"/>
      <c r="I157" s="6"/>
      <c r="J157" s="6"/>
      <c r="K157" s="6"/>
      <c r="M157" s="67"/>
      <c r="N157" s="6"/>
      <c r="O157" s="6"/>
      <c r="P157" s="6"/>
      <c r="Q157" s="6"/>
      <c r="R157" s="6"/>
      <c r="S157" s="6"/>
    </row>
    <row r="158" ht="15.75" customHeight="1">
      <c r="A158" s="67"/>
      <c r="B158" s="6"/>
      <c r="C158" s="6"/>
      <c r="D158" s="6"/>
      <c r="E158" s="6"/>
      <c r="F158" s="6"/>
      <c r="G158" s="6"/>
      <c r="H158" s="6"/>
      <c r="I158" s="6"/>
      <c r="J158" s="6"/>
      <c r="K158" s="6"/>
      <c r="M158" s="67"/>
      <c r="N158" s="6"/>
      <c r="O158" s="6"/>
      <c r="P158" s="6"/>
      <c r="Q158" s="6"/>
      <c r="R158" s="6"/>
      <c r="S158" s="6"/>
    </row>
    <row r="159" ht="15.75" customHeight="1">
      <c r="A159" s="67"/>
      <c r="B159" s="6"/>
      <c r="C159" s="6"/>
      <c r="D159" s="6"/>
      <c r="E159" s="6"/>
      <c r="F159" s="6"/>
      <c r="G159" s="6"/>
      <c r="H159" s="6"/>
      <c r="I159" s="6"/>
      <c r="J159" s="6"/>
      <c r="K159" s="6"/>
      <c r="M159" s="67"/>
      <c r="N159" s="6"/>
      <c r="O159" s="6"/>
      <c r="P159" s="6"/>
      <c r="Q159" s="6"/>
      <c r="R159" s="6"/>
      <c r="S159" s="6"/>
    </row>
    <row r="160" ht="15.75" customHeight="1">
      <c r="A160" s="67"/>
      <c r="B160" s="6"/>
      <c r="C160" s="6"/>
      <c r="D160" s="6"/>
      <c r="E160" s="6"/>
      <c r="F160" s="6"/>
      <c r="G160" s="6"/>
      <c r="H160" s="6"/>
      <c r="I160" s="6"/>
      <c r="J160" s="6"/>
      <c r="K160" s="6"/>
      <c r="M160" s="67"/>
      <c r="N160" s="6"/>
      <c r="O160" s="6"/>
      <c r="P160" s="6"/>
      <c r="Q160" s="6"/>
      <c r="R160" s="6"/>
      <c r="S160" s="6"/>
    </row>
    <row r="161" ht="15.75" customHeight="1">
      <c r="A161" s="67"/>
      <c r="B161" s="6"/>
      <c r="C161" s="6"/>
      <c r="D161" s="6"/>
      <c r="E161" s="6"/>
      <c r="F161" s="6"/>
      <c r="G161" s="6"/>
      <c r="H161" s="6"/>
      <c r="I161" s="6"/>
      <c r="J161" s="6"/>
      <c r="K161" s="6"/>
      <c r="M161" s="67"/>
      <c r="N161" s="6"/>
      <c r="O161" s="6"/>
      <c r="P161" s="6"/>
      <c r="Q161" s="6"/>
      <c r="R161" s="6"/>
      <c r="S161" s="6"/>
    </row>
    <row r="162" ht="15.75" customHeight="1">
      <c r="A162" s="67"/>
      <c r="B162" s="6"/>
      <c r="C162" s="6"/>
      <c r="D162" s="6"/>
      <c r="E162" s="6"/>
      <c r="F162" s="6"/>
      <c r="G162" s="6"/>
      <c r="H162" s="6"/>
      <c r="I162" s="6"/>
      <c r="J162" s="6"/>
      <c r="K162" s="6"/>
      <c r="M162" s="67"/>
      <c r="N162" s="6"/>
      <c r="O162" s="6"/>
      <c r="P162" s="6"/>
      <c r="Q162" s="6"/>
      <c r="R162" s="6"/>
      <c r="S162" s="6"/>
    </row>
    <row r="163" ht="15.75" customHeight="1">
      <c r="A163" s="67"/>
      <c r="B163" s="6"/>
      <c r="C163" s="6"/>
      <c r="D163" s="6"/>
      <c r="E163" s="6"/>
      <c r="F163" s="6"/>
      <c r="G163" s="6"/>
      <c r="H163" s="6"/>
      <c r="I163" s="6"/>
      <c r="J163" s="6"/>
      <c r="K163" s="6"/>
      <c r="M163" s="67"/>
      <c r="N163" s="6"/>
      <c r="O163" s="6"/>
      <c r="P163" s="6"/>
      <c r="Q163" s="6"/>
      <c r="R163" s="6"/>
      <c r="S163" s="6"/>
    </row>
    <row r="164" ht="15.75" customHeight="1">
      <c r="A164" s="67"/>
      <c r="B164" s="6"/>
      <c r="C164" s="6"/>
      <c r="D164" s="6"/>
      <c r="E164" s="6"/>
      <c r="F164" s="6"/>
      <c r="G164" s="6"/>
      <c r="H164" s="6"/>
      <c r="I164" s="6"/>
      <c r="J164" s="6"/>
      <c r="K164" s="6"/>
      <c r="M164" s="67"/>
      <c r="N164" s="6"/>
      <c r="O164" s="6"/>
      <c r="P164" s="6"/>
      <c r="Q164" s="6"/>
      <c r="R164" s="6"/>
      <c r="S164" s="6"/>
    </row>
    <row r="165" ht="15.75" customHeight="1">
      <c r="A165" s="67"/>
      <c r="B165" s="6"/>
      <c r="C165" s="6"/>
      <c r="D165" s="6"/>
      <c r="E165" s="6"/>
      <c r="F165" s="6"/>
      <c r="G165" s="6"/>
      <c r="H165" s="6"/>
      <c r="I165" s="6"/>
      <c r="J165" s="6"/>
      <c r="K165" s="6"/>
      <c r="M165" s="67"/>
      <c r="N165" s="6"/>
      <c r="O165" s="6"/>
      <c r="P165" s="6"/>
      <c r="Q165" s="6"/>
      <c r="R165" s="6"/>
      <c r="S165" s="6"/>
    </row>
    <row r="166" ht="15.75" customHeight="1">
      <c r="A166" s="67"/>
      <c r="B166" s="6"/>
      <c r="C166" s="6"/>
      <c r="D166" s="6"/>
      <c r="E166" s="6"/>
      <c r="F166" s="6"/>
      <c r="G166" s="6"/>
      <c r="H166" s="6"/>
      <c r="I166" s="6"/>
      <c r="J166" s="6"/>
      <c r="K166" s="6"/>
      <c r="M166" s="67"/>
      <c r="N166" s="6"/>
      <c r="O166" s="6"/>
      <c r="P166" s="6"/>
      <c r="Q166" s="6"/>
      <c r="R166" s="6"/>
      <c r="S166" s="6"/>
    </row>
    <row r="167" ht="15.75" customHeight="1">
      <c r="A167" s="67"/>
      <c r="B167" s="6"/>
      <c r="C167" s="6"/>
      <c r="D167" s="6"/>
      <c r="E167" s="6"/>
      <c r="F167" s="6"/>
      <c r="G167" s="6"/>
      <c r="H167" s="6"/>
      <c r="I167" s="6"/>
      <c r="J167" s="6"/>
      <c r="K167" s="6"/>
      <c r="M167" s="67"/>
      <c r="N167" s="6"/>
      <c r="O167" s="6"/>
      <c r="P167" s="6"/>
      <c r="Q167" s="6"/>
      <c r="R167" s="6"/>
      <c r="S167" s="6"/>
    </row>
    <row r="168" ht="15.75" customHeight="1">
      <c r="A168" s="67"/>
      <c r="B168" s="6"/>
      <c r="C168" s="6"/>
      <c r="D168" s="6"/>
      <c r="E168" s="6"/>
      <c r="F168" s="6"/>
      <c r="G168" s="6"/>
      <c r="H168" s="6"/>
      <c r="I168" s="6"/>
      <c r="J168" s="6"/>
      <c r="K168" s="6"/>
      <c r="M168" s="67"/>
      <c r="N168" s="6"/>
      <c r="O168" s="6"/>
      <c r="P168" s="6"/>
      <c r="Q168" s="6"/>
      <c r="R168" s="6"/>
      <c r="S168" s="6"/>
    </row>
    <row r="169" ht="15.75" customHeight="1">
      <c r="A169" s="67"/>
      <c r="B169" s="6"/>
      <c r="C169" s="6"/>
      <c r="D169" s="6"/>
      <c r="E169" s="6"/>
      <c r="F169" s="6"/>
      <c r="G169" s="6"/>
      <c r="H169" s="6"/>
      <c r="I169" s="6"/>
      <c r="J169" s="6"/>
      <c r="K169" s="6"/>
      <c r="M169" s="67"/>
      <c r="N169" s="6"/>
      <c r="O169" s="6"/>
      <c r="P169" s="6"/>
      <c r="Q169" s="6"/>
      <c r="R169" s="6"/>
      <c r="S169" s="6"/>
    </row>
    <row r="170" ht="15.75" customHeight="1">
      <c r="A170" s="67"/>
      <c r="B170" s="6"/>
      <c r="C170" s="6"/>
      <c r="D170" s="6"/>
      <c r="E170" s="6"/>
      <c r="F170" s="6"/>
      <c r="G170" s="6"/>
      <c r="H170" s="6"/>
      <c r="I170" s="6"/>
      <c r="J170" s="6"/>
      <c r="K170" s="6"/>
      <c r="M170" s="67"/>
      <c r="N170" s="6"/>
      <c r="O170" s="6"/>
      <c r="P170" s="6"/>
      <c r="Q170" s="6"/>
      <c r="R170" s="6"/>
      <c r="S170" s="6"/>
    </row>
    <row r="171" ht="15.75" customHeight="1">
      <c r="A171" s="67"/>
      <c r="B171" s="6"/>
      <c r="C171" s="6"/>
      <c r="D171" s="6"/>
      <c r="E171" s="6"/>
      <c r="F171" s="6"/>
      <c r="G171" s="6"/>
      <c r="H171" s="6"/>
      <c r="I171" s="6"/>
      <c r="J171" s="6"/>
      <c r="K171" s="6"/>
      <c r="M171" s="67"/>
      <c r="N171" s="6"/>
      <c r="O171" s="6"/>
      <c r="P171" s="6"/>
      <c r="Q171" s="6"/>
      <c r="R171" s="6"/>
      <c r="S171" s="6"/>
    </row>
    <row r="172" ht="15.75" customHeight="1">
      <c r="A172" s="67"/>
      <c r="B172" s="6"/>
      <c r="C172" s="6"/>
      <c r="D172" s="6"/>
      <c r="E172" s="6"/>
      <c r="F172" s="6"/>
      <c r="G172" s="6"/>
      <c r="H172" s="6"/>
      <c r="I172" s="6"/>
      <c r="J172" s="6"/>
      <c r="K172" s="6"/>
      <c r="M172" s="67"/>
      <c r="N172" s="6"/>
      <c r="O172" s="6"/>
      <c r="P172" s="6"/>
      <c r="Q172" s="6"/>
      <c r="R172" s="6"/>
      <c r="S172" s="6"/>
    </row>
    <row r="173" ht="15.75" customHeight="1">
      <c r="A173" s="67"/>
      <c r="B173" s="6"/>
      <c r="C173" s="6"/>
      <c r="D173" s="6"/>
      <c r="E173" s="6"/>
      <c r="F173" s="6"/>
      <c r="G173" s="6"/>
      <c r="H173" s="6"/>
      <c r="I173" s="6"/>
      <c r="J173" s="6"/>
      <c r="K173" s="6"/>
      <c r="M173" s="67"/>
      <c r="N173" s="6"/>
      <c r="O173" s="6"/>
      <c r="P173" s="6"/>
      <c r="Q173" s="6"/>
      <c r="R173" s="6"/>
      <c r="S173" s="6"/>
    </row>
    <row r="174" ht="15.75" customHeight="1">
      <c r="A174" s="67"/>
      <c r="B174" s="6"/>
      <c r="C174" s="6"/>
      <c r="D174" s="6"/>
      <c r="E174" s="6"/>
      <c r="F174" s="6"/>
      <c r="G174" s="6"/>
      <c r="H174" s="6"/>
      <c r="I174" s="6"/>
      <c r="J174" s="6"/>
      <c r="K174" s="6"/>
      <c r="M174" s="67"/>
      <c r="N174" s="6"/>
      <c r="O174" s="6"/>
      <c r="P174" s="6"/>
      <c r="Q174" s="6"/>
      <c r="R174" s="6"/>
      <c r="S174" s="6"/>
    </row>
    <row r="175" ht="15.75" customHeight="1">
      <c r="A175" s="67"/>
      <c r="B175" s="6"/>
      <c r="C175" s="6"/>
      <c r="D175" s="6"/>
      <c r="E175" s="6"/>
      <c r="F175" s="6"/>
      <c r="G175" s="6"/>
      <c r="H175" s="6"/>
      <c r="I175" s="6"/>
      <c r="J175" s="6"/>
      <c r="K175" s="6"/>
      <c r="M175" s="67"/>
      <c r="N175" s="6"/>
      <c r="O175" s="6"/>
      <c r="P175" s="6"/>
      <c r="Q175" s="6"/>
      <c r="R175" s="6"/>
      <c r="S175" s="6"/>
    </row>
    <row r="176" ht="15.75" customHeight="1">
      <c r="A176" s="67"/>
      <c r="B176" s="6"/>
      <c r="C176" s="6"/>
      <c r="D176" s="6"/>
      <c r="E176" s="6"/>
      <c r="F176" s="6"/>
      <c r="G176" s="6"/>
      <c r="H176" s="6"/>
      <c r="I176" s="6"/>
      <c r="J176" s="6"/>
      <c r="K176" s="6"/>
      <c r="M176" s="67"/>
      <c r="N176" s="6"/>
      <c r="O176" s="6"/>
      <c r="P176" s="6"/>
      <c r="Q176" s="6"/>
      <c r="R176" s="6"/>
      <c r="S176" s="6"/>
    </row>
    <row r="177" ht="15.75" customHeight="1">
      <c r="A177" s="67"/>
      <c r="B177" s="6"/>
      <c r="C177" s="6"/>
      <c r="D177" s="6"/>
      <c r="E177" s="6"/>
      <c r="F177" s="6"/>
      <c r="G177" s="6"/>
      <c r="H177" s="6"/>
      <c r="I177" s="6"/>
      <c r="J177" s="6"/>
      <c r="K177" s="6"/>
      <c r="M177" s="67"/>
      <c r="N177" s="6"/>
      <c r="O177" s="6"/>
      <c r="P177" s="6"/>
      <c r="Q177" s="6"/>
      <c r="R177" s="6"/>
      <c r="S177" s="6"/>
    </row>
    <row r="178" ht="15.75" customHeight="1">
      <c r="A178" s="67"/>
      <c r="B178" s="6"/>
      <c r="C178" s="6"/>
      <c r="D178" s="6"/>
      <c r="E178" s="6"/>
      <c r="F178" s="6"/>
      <c r="G178" s="6"/>
      <c r="H178" s="6"/>
      <c r="I178" s="6"/>
      <c r="J178" s="6"/>
      <c r="K178" s="6"/>
      <c r="M178" s="67"/>
      <c r="N178" s="6"/>
      <c r="O178" s="6"/>
      <c r="P178" s="6"/>
      <c r="Q178" s="6"/>
      <c r="R178" s="6"/>
      <c r="S178" s="6"/>
    </row>
    <row r="179" ht="15.75" customHeight="1">
      <c r="A179" s="67"/>
      <c r="B179" s="6"/>
      <c r="C179" s="6"/>
      <c r="D179" s="6"/>
      <c r="E179" s="6"/>
      <c r="F179" s="6"/>
      <c r="G179" s="6"/>
      <c r="H179" s="6"/>
      <c r="I179" s="6"/>
      <c r="J179" s="6"/>
      <c r="K179" s="6"/>
      <c r="M179" s="67"/>
      <c r="N179" s="6"/>
      <c r="O179" s="6"/>
      <c r="P179" s="6"/>
      <c r="Q179" s="6"/>
      <c r="R179" s="6"/>
      <c r="S179" s="6"/>
    </row>
    <row r="180" ht="15.75" customHeight="1">
      <c r="A180" s="67"/>
      <c r="B180" s="6"/>
      <c r="C180" s="6"/>
      <c r="D180" s="6"/>
      <c r="E180" s="6"/>
      <c r="F180" s="6"/>
      <c r="G180" s="6"/>
      <c r="H180" s="6"/>
      <c r="I180" s="6"/>
      <c r="J180" s="6"/>
      <c r="K180" s="6"/>
      <c r="M180" s="67"/>
      <c r="N180" s="6"/>
      <c r="O180" s="6"/>
      <c r="P180" s="6"/>
      <c r="Q180" s="6"/>
      <c r="R180" s="6"/>
      <c r="S180" s="6"/>
    </row>
    <row r="181" ht="15.75" customHeight="1">
      <c r="A181" s="67"/>
      <c r="B181" s="6"/>
      <c r="C181" s="6"/>
      <c r="D181" s="6"/>
      <c r="E181" s="6"/>
      <c r="F181" s="6"/>
      <c r="G181" s="6"/>
      <c r="H181" s="6"/>
      <c r="I181" s="6"/>
      <c r="J181" s="6"/>
      <c r="K181" s="6"/>
      <c r="M181" s="67"/>
      <c r="N181" s="6"/>
      <c r="O181" s="6"/>
      <c r="P181" s="6"/>
      <c r="Q181" s="6"/>
      <c r="R181" s="6"/>
      <c r="S181" s="6"/>
    </row>
    <row r="182" ht="15.75" customHeight="1">
      <c r="A182" s="67"/>
      <c r="B182" s="6"/>
      <c r="C182" s="6"/>
      <c r="D182" s="6"/>
      <c r="E182" s="6"/>
      <c r="F182" s="6"/>
      <c r="G182" s="6"/>
      <c r="H182" s="6"/>
      <c r="I182" s="6"/>
      <c r="J182" s="6"/>
      <c r="K182" s="6"/>
      <c r="M182" s="67"/>
      <c r="N182" s="6"/>
      <c r="O182" s="6"/>
      <c r="P182" s="6"/>
      <c r="Q182" s="6"/>
      <c r="R182" s="6"/>
      <c r="S182" s="6"/>
    </row>
    <row r="183" ht="15.75" customHeight="1">
      <c r="A183" s="67"/>
      <c r="B183" s="6"/>
      <c r="C183" s="6"/>
      <c r="D183" s="6"/>
      <c r="E183" s="6"/>
      <c r="F183" s="6"/>
      <c r="G183" s="6"/>
      <c r="H183" s="6"/>
      <c r="I183" s="6"/>
      <c r="J183" s="6"/>
      <c r="K183" s="6"/>
      <c r="M183" s="67"/>
      <c r="N183" s="6"/>
      <c r="O183" s="6"/>
      <c r="P183" s="6"/>
      <c r="Q183" s="6"/>
      <c r="R183" s="6"/>
      <c r="S183" s="6"/>
    </row>
    <row r="184" ht="15.75" customHeight="1">
      <c r="A184" s="67"/>
      <c r="B184" s="6"/>
      <c r="C184" s="6"/>
      <c r="D184" s="6"/>
      <c r="E184" s="6"/>
      <c r="F184" s="6"/>
      <c r="G184" s="6"/>
      <c r="H184" s="6"/>
      <c r="I184" s="6"/>
      <c r="J184" s="6"/>
      <c r="K184" s="6"/>
      <c r="M184" s="67"/>
      <c r="N184" s="6"/>
      <c r="O184" s="6"/>
      <c r="P184" s="6"/>
      <c r="Q184" s="6"/>
      <c r="R184" s="6"/>
      <c r="S184" s="6"/>
    </row>
    <row r="185" ht="15.75" customHeight="1">
      <c r="A185" s="67"/>
      <c r="B185" s="6"/>
      <c r="C185" s="6"/>
      <c r="D185" s="6"/>
      <c r="E185" s="6"/>
      <c r="F185" s="6"/>
      <c r="G185" s="6"/>
      <c r="H185" s="6"/>
      <c r="I185" s="6"/>
      <c r="J185" s="6"/>
      <c r="K185" s="6"/>
      <c r="M185" s="67"/>
      <c r="N185" s="6"/>
      <c r="O185" s="6"/>
      <c r="P185" s="6"/>
      <c r="Q185" s="6"/>
      <c r="R185" s="6"/>
      <c r="S185" s="6"/>
    </row>
    <row r="186" ht="15.75" customHeight="1">
      <c r="A186" s="67"/>
      <c r="B186" s="6"/>
      <c r="C186" s="6"/>
      <c r="D186" s="6"/>
      <c r="E186" s="6"/>
      <c r="F186" s="6"/>
      <c r="G186" s="6"/>
      <c r="H186" s="6"/>
      <c r="I186" s="6"/>
      <c r="J186" s="6"/>
      <c r="K186" s="6"/>
      <c r="M186" s="67"/>
      <c r="N186" s="6"/>
      <c r="O186" s="6"/>
      <c r="P186" s="6"/>
      <c r="Q186" s="6"/>
      <c r="R186" s="6"/>
      <c r="S186" s="6"/>
    </row>
    <row r="187" ht="15.75" customHeight="1">
      <c r="A187" s="67"/>
      <c r="B187" s="6"/>
      <c r="C187" s="6"/>
      <c r="D187" s="6"/>
      <c r="E187" s="6"/>
      <c r="F187" s="6"/>
      <c r="G187" s="6"/>
      <c r="H187" s="6"/>
      <c r="I187" s="6"/>
      <c r="J187" s="6"/>
      <c r="K187" s="6"/>
      <c r="M187" s="67"/>
      <c r="N187" s="6"/>
      <c r="O187" s="6"/>
      <c r="P187" s="6"/>
      <c r="Q187" s="6"/>
      <c r="R187" s="6"/>
      <c r="S187" s="6"/>
    </row>
    <row r="188" ht="15.75" customHeight="1">
      <c r="A188" s="67"/>
      <c r="B188" s="6"/>
      <c r="C188" s="6"/>
      <c r="D188" s="6"/>
      <c r="E188" s="6"/>
      <c r="F188" s="6"/>
      <c r="G188" s="6"/>
      <c r="H188" s="6"/>
      <c r="I188" s="6"/>
      <c r="J188" s="6"/>
      <c r="K188" s="6"/>
      <c r="M188" s="67"/>
      <c r="N188" s="6"/>
      <c r="O188" s="6"/>
      <c r="P188" s="6"/>
      <c r="Q188" s="6"/>
      <c r="R188" s="6"/>
      <c r="S188" s="6"/>
    </row>
    <row r="189" ht="15.75" customHeight="1">
      <c r="A189" s="67"/>
      <c r="B189" s="6"/>
      <c r="C189" s="6"/>
      <c r="D189" s="6"/>
      <c r="E189" s="6"/>
      <c r="F189" s="6"/>
      <c r="G189" s="6"/>
      <c r="H189" s="6"/>
      <c r="I189" s="6"/>
      <c r="J189" s="6"/>
      <c r="K189" s="6"/>
      <c r="M189" s="67"/>
      <c r="N189" s="6"/>
      <c r="O189" s="6"/>
      <c r="P189" s="6"/>
      <c r="Q189" s="6"/>
      <c r="R189" s="6"/>
      <c r="S189" s="6"/>
    </row>
    <row r="190" ht="15.75" customHeight="1">
      <c r="A190" s="67"/>
      <c r="B190" s="6"/>
      <c r="C190" s="6"/>
      <c r="D190" s="6"/>
      <c r="E190" s="6"/>
      <c r="F190" s="6"/>
      <c r="G190" s="6"/>
      <c r="H190" s="6"/>
      <c r="I190" s="6"/>
      <c r="J190" s="6"/>
      <c r="K190" s="6"/>
      <c r="M190" s="67"/>
      <c r="N190" s="6"/>
      <c r="O190" s="6"/>
      <c r="P190" s="6"/>
      <c r="Q190" s="6"/>
      <c r="R190" s="6"/>
      <c r="S190" s="6"/>
    </row>
    <row r="191" ht="15.75" customHeight="1">
      <c r="A191" s="67"/>
      <c r="B191" s="6"/>
      <c r="C191" s="6"/>
      <c r="D191" s="6"/>
      <c r="E191" s="6"/>
      <c r="F191" s="6"/>
      <c r="G191" s="6"/>
      <c r="H191" s="6"/>
      <c r="I191" s="6"/>
      <c r="J191" s="6"/>
      <c r="K191" s="6"/>
      <c r="M191" s="67"/>
      <c r="N191" s="6"/>
      <c r="O191" s="6"/>
      <c r="P191" s="6"/>
      <c r="Q191" s="6"/>
      <c r="R191" s="6"/>
      <c r="S191" s="6"/>
    </row>
    <row r="192" ht="15.75" customHeight="1">
      <c r="A192" s="67"/>
      <c r="B192" s="6"/>
      <c r="C192" s="6"/>
      <c r="D192" s="6"/>
      <c r="E192" s="6"/>
      <c r="F192" s="6"/>
      <c r="G192" s="6"/>
      <c r="H192" s="6"/>
      <c r="I192" s="6"/>
      <c r="J192" s="6"/>
      <c r="K192" s="6"/>
      <c r="M192" s="67"/>
      <c r="N192" s="6"/>
      <c r="O192" s="6"/>
      <c r="P192" s="6"/>
      <c r="Q192" s="6"/>
      <c r="R192" s="6"/>
      <c r="S192" s="6"/>
    </row>
    <row r="193" ht="15.75" customHeight="1">
      <c r="A193" s="67"/>
      <c r="B193" s="6"/>
      <c r="C193" s="6"/>
      <c r="D193" s="6"/>
      <c r="E193" s="6"/>
      <c r="F193" s="6"/>
      <c r="G193" s="6"/>
      <c r="H193" s="6"/>
      <c r="I193" s="6"/>
      <c r="J193" s="6"/>
      <c r="K193" s="6"/>
      <c r="M193" s="67"/>
      <c r="N193" s="6"/>
      <c r="O193" s="6"/>
      <c r="P193" s="6"/>
      <c r="Q193" s="6"/>
      <c r="R193" s="6"/>
      <c r="S193" s="6"/>
    </row>
    <row r="194" ht="15.75" customHeight="1">
      <c r="A194" s="67"/>
      <c r="B194" s="6"/>
      <c r="C194" s="6"/>
      <c r="D194" s="6"/>
      <c r="E194" s="6"/>
      <c r="F194" s="6"/>
      <c r="G194" s="6"/>
      <c r="H194" s="6"/>
      <c r="I194" s="6"/>
      <c r="J194" s="6"/>
      <c r="K194" s="6"/>
      <c r="M194" s="67"/>
      <c r="N194" s="6"/>
      <c r="O194" s="6"/>
      <c r="P194" s="6"/>
      <c r="Q194" s="6"/>
      <c r="R194" s="6"/>
      <c r="S194" s="6"/>
    </row>
    <row r="195" ht="15.75" customHeight="1">
      <c r="A195" s="67"/>
      <c r="B195" s="6"/>
      <c r="C195" s="6"/>
      <c r="D195" s="6"/>
      <c r="E195" s="6"/>
      <c r="F195" s="6"/>
      <c r="G195" s="6"/>
      <c r="H195" s="6"/>
      <c r="I195" s="6"/>
      <c r="J195" s="6"/>
      <c r="K195" s="6"/>
      <c r="M195" s="67"/>
      <c r="N195" s="6"/>
      <c r="O195" s="6"/>
      <c r="P195" s="6"/>
      <c r="Q195" s="6"/>
      <c r="R195" s="6"/>
      <c r="S195" s="6"/>
    </row>
    <row r="196" ht="15.75" customHeight="1">
      <c r="A196" s="67"/>
      <c r="B196" s="6"/>
      <c r="C196" s="6"/>
      <c r="D196" s="6"/>
      <c r="E196" s="6"/>
      <c r="F196" s="6"/>
      <c r="G196" s="6"/>
      <c r="H196" s="6"/>
      <c r="I196" s="6"/>
      <c r="J196" s="6"/>
      <c r="K196" s="6"/>
      <c r="M196" s="67"/>
      <c r="N196" s="6"/>
      <c r="O196" s="6"/>
      <c r="P196" s="6"/>
      <c r="Q196" s="6"/>
      <c r="R196" s="6"/>
      <c r="S196" s="6"/>
    </row>
    <row r="197" ht="15.75" customHeight="1">
      <c r="A197" s="67"/>
      <c r="B197" s="6"/>
      <c r="C197" s="6"/>
      <c r="D197" s="6"/>
      <c r="E197" s="6"/>
      <c r="F197" s="6"/>
      <c r="G197" s="6"/>
      <c r="H197" s="6"/>
      <c r="I197" s="6"/>
      <c r="J197" s="6"/>
      <c r="K197" s="6"/>
      <c r="M197" s="67"/>
      <c r="N197" s="6"/>
      <c r="O197" s="6"/>
      <c r="P197" s="6"/>
      <c r="Q197" s="6"/>
      <c r="R197" s="6"/>
      <c r="S197" s="6"/>
    </row>
    <row r="198" ht="15.75" customHeight="1">
      <c r="A198" s="67"/>
      <c r="B198" s="6"/>
      <c r="C198" s="6"/>
      <c r="D198" s="6"/>
      <c r="E198" s="6"/>
      <c r="F198" s="6"/>
      <c r="G198" s="6"/>
      <c r="H198" s="6"/>
      <c r="I198" s="6"/>
      <c r="J198" s="6"/>
      <c r="K198" s="6"/>
      <c r="M198" s="67"/>
      <c r="N198" s="6"/>
      <c r="O198" s="6"/>
      <c r="P198" s="6"/>
      <c r="Q198" s="6"/>
      <c r="R198" s="6"/>
      <c r="S198" s="6"/>
    </row>
    <row r="199" ht="15.75" customHeight="1">
      <c r="A199" s="67"/>
      <c r="B199" s="6"/>
      <c r="C199" s="6"/>
      <c r="D199" s="6"/>
      <c r="E199" s="6"/>
      <c r="F199" s="6"/>
      <c r="G199" s="6"/>
      <c r="H199" s="6"/>
      <c r="I199" s="6"/>
      <c r="J199" s="6"/>
      <c r="K199" s="6"/>
      <c r="M199" s="67"/>
      <c r="N199" s="6"/>
      <c r="O199" s="6"/>
      <c r="P199" s="6"/>
      <c r="Q199" s="6"/>
      <c r="R199" s="6"/>
      <c r="S199" s="6"/>
    </row>
    <row r="200" ht="15.75" customHeight="1"/>
    <row r="201" ht="15.75" customHeight="1"/>
    <row r="202" ht="15.75" customHeight="1"/>
    <row r="203" ht="15.75" customHeight="1">
      <c r="A203" s="67"/>
      <c r="B203" s="6"/>
      <c r="C203" s="6" t="s">
        <v>15</v>
      </c>
      <c r="D203" s="6" t="s">
        <v>24</v>
      </c>
      <c r="E203" s="6" t="s">
        <v>55</v>
      </c>
      <c r="F203" s="6" t="s">
        <v>45</v>
      </c>
      <c r="G203" s="6" t="s">
        <v>46</v>
      </c>
      <c r="H203" s="6"/>
      <c r="I203" s="6"/>
      <c r="J203" s="6"/>
      <c r="K203" s="6"/>
      <c r="M203" s="79"/>
      <c r="O203" s="23"/>
      <c r="P203" s="23" t="s">
        <v>20</v>
      </c>
    </row>
    <row r="204" ht="15.75" customHeight="1">
      <c r="A204" s="67"/>
      <c r="B204" s="6"/>
      <c r="C204" s="6" t="s">
        <v>27</v>
      </c>
      <c r="D204" s="6" t="s">
        <v>28</v>
      </c>
      <c r="E204" s="6" t="s">
        <v>17</v>
      </c>
      <c r="F204" s="6" t="s">
        <v>18</v>
      </c>
      <c r="G204" s="6" t="s">
        <v>19</v>
      </c>
      <c r="H204" s="6"/>
      <c r="I204" s="6"/>
      <c r="J204" s="6"/>
      <c r="K204" s="6"/>
      <c r="M204" s="79"/>
      <c r="O204" s="23"/>
      <c r="P204" s="23" t="s">
        <v>8</v>
      </c>
    </row>
    <row r="205" ht="15.75" customHeight="1">
      <c r="D205" s="6" t="s">
        <v>34</v>
      </c>
      <c r="E205" s="6"/>
      <c r="F205" s="6"/>
      <c r="G205" s="6"/>
      <c r="P205" s="23" t="s">
        <v>9</v>
      </c>
    </row>
    <row r="206" ht="15.75" customHeight="1">
      <c r="B206" s="6"/>
      <c r="D206" s="6" t="s">
        <v>37</v>
      </c>
      <c r="E206" s="6"/>
      <c r="F206" s="6"/>
      <c r="G206" s="6"/>
      <c r="P206" s="23" t="s">
        <v>10</v>
      </c>
    </row>
    <row r="207" ht="15.75" customHeight="1">
      <c r="D207" s="6" t="s">
        <v>40</v>
      </c>
      <c r="E207" s="6"/>
      <c r="F207" s="6"/>
      <c r="G207" s="6"/>
      <c r="P207" s="23" t="s">
        <v>108</v>
      </c>
    </row>
    <row r="208" ht="15.75" customHeight="1">
      <c r="D208" s="6" t="s">
        <v>181</v>
      </c>
      <c r="E208" s="6"/>
      <c r="F208" s="6"/>
      <c r="G208" s="6"/>
    </row>
    <row r="209" ht="15.75" customHeight="1">
      <c r="D209" s="6" t="s">
        <v>16</v>
      </c>
      <c r="E209" s="6"/>
      <c r="F209" s="6"/>
      <c r="G209" s="6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K$198">
    <sortState ref="A1:K198">
      <sortCondition ref="C1:C198"/>
      <sortCondition ref="A1:A198"/>
    </sortState>
  </autoFilter>
  <mergeCells count="3">
    <mergeCell ref="V33:Z33"/>
    <mergeCell ref="V44:Z44"/>
    <mergeCell ref="V52:Z52"/>
  </mergeCells>
  <dataValidations>
    <dataValidation type="list" allowBlank="1" showErrorMessage="1" sqref="C2:C199 O25:O199 C203:C204 O203:O204 B206">
      <formula1>"EFECTIVO,TRANSFERENCIA"</formula1>
    </dataValidation>
    <dataValidation type="list" allowBlank="1" sqref="Q25:Q199">
      <formula1>"FIJOS MENSUALES,JUDICIALES,EXTRAS"</formula1>
    </dataValidation>
    <dataValidation type="list" allowBlank="1" showErrorMessage="1" sqref="E2:E199 E203:E209">
      <formula1>"CAMPAÑA,DERIVADO"</formula1>
    </dataValidation>
    <dataValidation type="list" allowBlank="1" showErrorMessage="1" sqref="P25:P199 P203:P207">
      <formula1>"RODRI,NOE,ALE,FABRI,CJ NOA"</formula1>
    </dataValidation>
    <dataValidation type="list" allowBlank="1" showErrorMessage="1" sqref="F2:F199 F203:F209">
      <formula1>"NUEVO,VIEJO"</formula1>
    </dataValidation>
    <dataValidation type="list" allowBlank="1" showErrorMessage="1" sqref="D2:D199 D203:D209">
      <formula1>"SUCESORIO,REALES,JUBILACIONES,UCAP,CREDITOS,DIVORCIO,OTROS"</formula1>
    </dataValidation>
    <dataValidation type="list" allowBlank="1" showErrorMessage="1" sqref="G2:G199 G203:G209">
      <formula1>"CONSULTA,HONORARIOS"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0.86"/>
    <col customWidth="1" min="3" max="3" width="21.71"/>
    <col customWidth="1" min="4" max="4" width="18.43"/>
    <col customWidth="1" min="5" max="5" width="16.43"/>
    <col customWidth="1" min="6" max="6" width="15.14"/>
    <col customWidth="1" min="7" max="7" width="15.71"/>
    <col customWidth="1" min="8" max="8" width="13.57"/>
    <col customWidth="1" min="9" max="9" width="11.71"/>
    <col customWidth="1" min="10" max="10" width="11.0"/>
    <col customWidth="1" min="11" max="11" width="11.57"/>
    <col customWidth="1" min="12" max="12" width="26.71"/>
    <col customWidth="1" min="13" max="13" width="20.29"/>
    <col customWidth="1" min="14" max="14" width="27.86"/>
    <col customWidth="1" min="15" max="15" width="22.71"/>
    <col customWidth="1" min="16" max="16" width="30.14"/>
    <col customWidth="1" min="17" max="17" width="28.29"/>
    <col customWidth="1" min="18" max="19" width="26.14"/>
    <col customWidth="1" min="20" max="20" width="22.0"/>
    <col customWidth="1" min="22" max="22" width="20.43"/>
    <col customWidth="1" min="23" max="23" width="18.29"/>
    <col customWidth="1" min="25" max="25" width="1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7</v>
      </c>
      <c r="N1" s="2" t="s">
        <v>8</v>
      </c>
      <c r="O1" s="2" t="s">
        <v>9</v>
      </c>
      <c r="P1" s="2" t="s">
        <v>10</v>
      </c>
      <c r="R1" s="3" t="s">
        <v>11</v>
      </c>
      <c r="S1" s="3" t="s">
        <v>12</v>
      </c>
      <c r="T1" s="4"/>
      <c r="V1" s="5" t="s">
        <v>13</v>
      </c>
      <c r="W1" s="5">
        <f>M18</f>
        <v>39</v>
      </c>
      <c r="X1" s="6"/>
      <c r="Y1" s="6"/>
      <c r="Z1" s="6"/>
    </row>
    <row r="2">
      <c r="A2" s="67">
        <v>46097.0</v>
      </c>
      <c r="B2" s="8" t="s">
        <v>255</v>
      </c>
      <c r="C2" s="9" t="s">
        <v>15</v>
      </c>
      <c r="D2" s="6" t="s">
        <v>34</v>
      </c>
      <c r="E2" s="6" t="s">
        <v>55</v>
      </c>
      <c r="F2" s="6" t="s">
        <v>45</v>
      </c>
      <c r="G2" s="6" t="s">
        <v>46</v>
      </c>
      <c r="H2" s="8"/>
      <c r="I2" s="8"/>
      <c r="J2" s="8"/>
      <c r="K2" s="8">
        <v>50000.0</v>
      </c>
      <c r="M2" s="10">
        <f t="shared" ref="M2:P2" si="1">SUM(H2:H198)</f>
        <v>1474000</v>
      </c>
      <c r="N2" s="10">
        <f t="shared" si="1"/>
        <v>2406581</v>
      </c>
      <c r="O2" s="10">
        <f t="shared" si="1"/>
        <v>2461380</v>
      </c>
      <c r="P2" s="10">
        <f t="shared" si="1"/>
        <v>2200000</v>
      </c>
      <c r="R2" s="11">
        <f t="shared" ref="R2:S2" si="2">SUM(R25:R199)</f>
        <v>1921000</v>
      </c>
      <c r="S2" s="12">
        <f t="shared" si="2"/>
        <v>4523184</v>
      </c>
      <c r="V2" s="6"/>
      <c r="W2" s="13" t="s">
        <v>20</v>
      </c>
      <c r="X2" s="13" t="s">
        <v>8</v>
      </c>
      <c r="Y2" s="13" t="s">
        <v>9</v>
      </c>
      <c r="Z2" s="13" t="s">
        <v>10</v>
      </c>
      <c r="AA2" s="5" t="s">
        <v>21</v>
      </c>
      <c r="AB2" s="14" t="s">
        <v>22</v>
      </c>
      <c r="AC2" s="14"/>
      <c r="AD2" s="14"/>
      <c r="AE2" s="14"/>
      <c r="AF2" s="14"/>
    </row>
    <row r="3">
      <c r="A3" s="67">
        <v>46098.0</v>
      </c>
      <c r="B3" s="8" t="s">
        <v>256</v>
      </c>
      <c r="C3" s="9" t="s">
        <v>15</v>
      </c>
      <c r="D3" s="6" t="s">
        <v>37</v>
      </c>
      <c r="E3" s="6" t="s">
        <v>17</v>
      </c>
      <c r="F3" s="6" t="s">
        <v>45</v>
      </c>
      <c r="G3" s="6" t="s">
        <v>46</v>
      </c>
      <c r="H3" s="8"/>
      <c r="I3" s="8"/>
      <c r="J3" s="8"/>
      <c r="K3" s="8">
        <v>30000.0</v>
      </c>
      <c r="L3" s="15" t="s">
        <v>25</v>
      </c>
      <c r="M3" s="16">
        <f t="shared" ref="M3:P3" si="3">M2/$N$11</f>
        <v>0.3930666667</v>
      </c>
      <c r="N3" s="16">
        <f t="shared" si="3"/>
        <v>0.6417549333</v>
      </c>
      <c r="O3" s="16">
        <f t="shared" si="3"/>
        <v>0.656368</v>
      </c>
      <c r="P3" s="16">
        <f t="shared" si="3"/>
        <v>0.5866666667</v>
      </c>
      <c r="V3" s="13" t="s">
        <v>24</v>
      </c>
      <c r="W3" s="6">
        <f>COUNTIFS(D2:D199,D203,H2:H199,"&gt;1")</f>
        <v>1</v>
      </c>
      <c r="X3" s="6">
        <f>COUNTIFS(D2:D199,D203,I2:I199,"&gt;1")</f>
        <v>0</v>
      </c>
      <c r="Y3" s="6">
        <f>COUNTIFS(D2:D199,D203,J2:J199,"&gt;1")</f>
        <v>3</v>
      </c>
      <c r="Z3" s="6">
        <f>COUNTIFS(D2:D199,D203,K2:K199,"&gt;1")</f>
        <v>0</v>
      </c>
      <c r="AA3" s="13">
        <f t="shared" ref="AA3:AA9" si="4">SUM(W3:Z3)</f>
        <v>4</v>
      </c>
      <c r="AB3" s="17">
        <f t="shared" ref="AB3:AB9" si="5">AA3/$W$1</f>
        <v>0.1025641026</v>
      </c>
      <c r="AC3" s="17"/>
      <c r="AD3" s="17"/>
      <c r="AE3" s="17"/>
      <c r="AF3" s="17"/>
    </row>
    <row r="4" ht="21.75" customHeight="1">
      <c r="A4" s="67">
        <v>46098.0</v>
      </c>
      <c r="B4" s="84" t="s">
        <v>257</v>
      </c>
      <c r="C4" s="85" t="s">
        <v>27</v>
      </c>
      <c r="D4" s="6" t="s">
        <v>37</v>
      </c>
      <c r="E4" s="6" t="s">
        <v>17</v>
      </c>
      <c r="F4" s="6" t="s">
        <v>18</v>
      </c>
      <c r="G4" s="6" t="s">
        <v>19</v>
      </c>
      <c r="H4" s="8"/>
      <c r="I4" s="8"/>
      <c r="J4" s="8"/>
      <c r="K4" s="84">
        <v>70000.0</v>
      </c>
      <c r="L4" s="15" t="s">
        <v>29</v>
      </c>
      <c r="M4" s="16">
        <f>M2/($O$5-L11)</f>
        <v>0.1725599075</v>
      </c>
      <c r="N4" s="16">
        <f>N2/($O$5-L11)</f>
        <v>0.2817363601</v>
      </c>
      <c r="O4" s="16">
        <f>O2/($O$5-L11)</f>
        <v>0.2881516317</v>
      </c>
      <c r="P4" s="16">
        <f>P2/($O$5-L11)</f>
        <v>0.2575521007</v>
      </c>
      <c r="R4" s="20" t="s">
        <v>30</v>
      </c>
      <c r="S4" s="21">
        <f>SUM(R2+S2+T2)</f>
        <v>6444184</v>
      </c>
      <c r="V4" s="13" t="s">
        <v>28</v>
      </c>
      <c r="W4" s="6">
        <f>COUNTIFS(D2:D199,D204,H2:H199,"&gt;1")</f>
        <v>4</v>
      </c>
      <c r="X4" s="6">
        <f>COUNTIFS(D2:D199,D204,I2:I199,"&gt;1")</f>
        <v>2</v>
      </c>
      <c r="Y4" s="6">
        <f>COUNTIFS(D2:D199,D204,J2:J199,"&gt;1")</f>
        <v>0</v>
      </c>
      <c r="Z4" s="6">
        <f>COUNTIFS(D2:D199,D204,K2:K199,"&gt;1")</f>
        <v>0</v>
      </c>
      <c r="AA4" s="13">
        <f t="shared" si="4"/>
        <v>6</v>
      </c>
      <c r="AB4" s="17">
        <f t="shared" si="5"/>
        <v>0.1538461538</v>
      </c>
      <c r="AC4" s="17"/>
      <c r="AD4" s="17"/>
      <c r="AE4" s="17"/>
      <c r="AF4" s="17"/>
    </row>
    <row r="5">
      <c r="A5" s="67">
        <v>46098.0</v>
      </c>
      <c r="B5" s="9" t="s">
        <v>258</v>
      </c>
      <c r="C5" s="9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8"/>
      <c r="I5" s="8">
        <v>250000.0</v>
      </c>
      <c r="J5" s="8"/>
      <c r="K5" s="8"/>
      <c r="N5" s="26" t="s">
        <v>35</v>
      </c>
      <c r="O5" s="21">
        <f>SUM(M2:N2:O2:P2)+L11</f>
        <v>8541961</v>
      </c>
      <c r="S5" s="16">
        <f>S4/$O$5</f>
        <v>0.7544150576</v>
      </c>
      <c r="V5" s="13" t="s">
        <v>34</v>
      </c>
      <c r="W5" s="6">
        <f>COUNTIFS(D2:D199,D205,H2:H199,"&gt;1")</f>
        <v>0</v>
      </c>
      <c r="X5" s="6">
        <f>COUNTIFS(D2:D199,D205,I2:I199,"&gt;1")</f>
        <v>1</v>
      </c>
      <c r="Y5" s="6">
        <f>COUNTIFS(D2:D199,D205,J2:J199,"&gt;1")</f>
        <v>0</v>
      </c>
      <c r="Z5" s="6">
        <f>COUNTIFS(D2:D199,D205,K2:K199,"&gt;1")</f>
        <v>6</v>
      </c>
      <c r="AA5" s="13">
        <f t="shared" si="4"/>
        <v>7</v>
      </c>
      <c r="AB5" s="17">
        <f t="shared" si="5"/>
        <v>0.1794871795</v>
      </c>
      <c r="AC5" s="17"/>
      <c r="AD5" s="17"/>
      <c r="AE5" s="17"/>
      <c r="AF5" s="17"/>
    </row>
    <row r="6">
      <c r="A6" s="67">
        <v>46100.0</v>
      </c>
      <c r="B6" s="8" t="s">
        <v>259</v>
      </c>
      <c r="C6" s="9" t="s">
        <v>15</v>
      </c>
      <c r="D6" s="6" t="s">
        <v>37</v>
      </c>
      <c r="E6" s="6" t="s">
        <v>17</v>
      </c>
      <c r="F6" s="6" t="s">
        <v>45</v>
      </c>
      <c r="G6" s="6" t="s">
        <v>19</v>
      </c>
      <c r="H6" s="6"/>
      <c r="I6" s="8"/>
      <c r="J6" s="8"/>
      <c r="K6" s="8">
        <v>400000.0</v>
      </c>
      <c r="O6" s="16">
        <f>O5/$O$11</f>
        <v>0.5694640667</v>
      </c>
      <c r="V6" s="13" t="s">
        <v>37</v>
      </c>
      <c r="W6" s="6">
        <f>COUNTIFS(D2:D199,D206,H2:H199,"&gt;1")</f>
        <v>0</v>
      </c>
      <c r="X6" s="6">
        <f>COUNTIFS(D2:D199,D206,I2:I199,"&gt;1")</f>
        <v>0</v>
      </c>
      <c r="Y6" s="6">
        <f>COUNTIFS(D2:D199,D206,J2:J199,"&gt;1")</f>
        <v>0</v>
      </c>
      <c r="Z6" s="6">
        <f>COUNTIFS(D2:D199,D206,K2:K199,"&gt;1")</f>
        <v>6</v>
      </c>
      <c r="AA6" s="13">
        <f t="shared" si="4"/>
        <v>6</v>
      </c>
      <c r="AB6" s="17">
        <f t="shared" si="5"/>
        <v>0.1538461538</v>
      </c>
      <c r="AC6" s="17"/>
      <c r="AD6" s="17"/>
      <c r="AE6" s="17"/>
      <c r="AF6" s="17"/>
    </row>
    <row r="7">
      <c r="A7" s="67">
        <v>46100.0</v>
      </c>
      <c r="B7" s="8" t="s">
        <v>260</v>
      </c>
      <c r="C7" s="9" t="s">
        <v>15</v>
      </c>
      <c r="D7" s="6" t="s">
        <v>28</v>
      </c>
      <c r="E7" s="6" t="s">
        <v>17</v>
      </c>
      <c r="F7" s="6" t="s">
        <v>45</v>
      </c>
      <c r="G7" s="6" t="s">
        <v>46</v>
      </c>
      <c r="H7" s="8">
        <v>25000.0</v>
      </c>
      <c r="I7" s="8"/>
      <c r="J7" s="8"/>
      <c r="K7" s="8"/>
      <c r="P7" s="26" t="s">
        <v>39</v>
      </c>
      <c r="Q7" s="21">
        <f>O5-S4</f>
        <v>2097777</v>
      </c>
      <c r="R7" s="16">
        <f>Q7/$O$5</f>
        <v>0.2455849424</v>
      </c>
      <c r="V7" s="13" t="s">
        <v>40</v>
      </c>
      <c r="W7" s="6">
        <f>COUNTIFS(D2:D199,D207,H2:H199,"&gt;1")</f>
        <v>0</v>
      </c>
      <c r="X7" s="6">
        <f>COUNTIFS(D2:D199,D207,I2:I199,"&gt;1")</f>
        <v>0</v>
      </c>
      <c r="Y7" s="6">
        <f>COUNTIFS(D2:D199,D207,J2:J199,"&gt;1")</f>
        <v>0</v>
      </c>
      <c r="Z7" s="6">
        <f>COUNTIFS(D2:D199,D207,K2:K199,"&gt;1")</f>
        <v>0</v>
      </c>
      <c r="AA7" s="13">
        <f t="shared" si="4"/>
        <v>0</v>
      </c>
      <c r="AB7" s="17">
        <f t="shared" si="5"/>
        <v>0</v>
      </c>
      <c r="AC7" s="17"/>
      <c r="AD7" s="17"/>
      <c r="AE7" s="17"/>
      <c r="AF7" s="17"/>
    </row>
    <row r="8">
      <c r="A8" s="67">
        <v>46101.0</v>
      </c>
      <c r="B8" s="8" t="s">
        <v>261</v>
      </c>
      <c r="C8" s="9" t="s">
        <v>15</v>
      </c>
      <c r="D8" s="6" t="s">
        <v>28</v>
      </c>
      <c r="E8" s="6" t="s">
        <v>17</v>
      </c>
      <c r="F8" s="6" t="s">
        <v>45</v>
      </c>
      <c r="G8" s="6" t="s">
        <v>46</v>
      </c>
      <c r="H8" s="8">
        <v>55000.0</v>
      </c>
      <c r="I8" s="8"/>
      <c r="J8" s="8"/>
      <c r="K8" s="8"/>
      <c r="P8" s="26" t="s">
        <v>42</v>
      </c>
      <c r="Q8" s="21">
        <f>Q7/4</f>
        <v>524444.25</v>
      </c>
      <c r="V8" s="13" t="s">
        <v>43</v>
      </c>
      <c r="W8" s="6">
        <f>COUNTIFS(D2:D199,D208,H2:H199,"&gt;1")</f>
        <v>0</v>
      </c>
      <c r="X8" s="6">
        <f>COUNTIFS(D2:D199,D208,I2:I199,"&gt;1")</f>
        <v>0</v>
      </c>
      <c r="Y8" s="6">
        <f>COUNTIFS(D2:D199,D208,J2:J199,"&gt;1")</f>
        <v>0</v>
      </c>
      <c r="Z8" s="6">
        <f>COUNTIFS(D2:D199,D208,K2:K199,"&gt;1")</f>
        <v>0</v>
      </c>
      <c r="AA8" s="13">
        <f t="shared" si="4"/>
        <v>0</v>
      </c>
      <c r="AB8" s="17">
        <f t="shared" si="5"/>
        <v>0</v>
      </c>
      <c r="AC8" s="17"/>
      <c r="AD8" s="17"/>
      <c r="AE8" s="17"/>
      <c r="AF8" s="17"/>
    </row>
    <row r="9">
      <c r="A9" s="67">
        <v>46101.0</v>
      </c>
      <c r="B9" s="84" t="s">
        <v>262</v>
      </c>
      <c r="C9" s="85" t="s">
        <v>27</v>
      </c>
      <c r="D9" s="6" t="s">
        <v>16</v>
      </c>
      <c r="E9" s="6" t="s">
        <v>17</v>
      </c>
      <c r="F9" s="6" t="s">
        <v>45</v>
      </c>
      <c r="G9" s="6" t="s">
        <v>19</v>
      </c>
      <c r="H9" s="84">
        <v>170000.0</v>
      </c>
      <c r="I9" s="8"/>
      <c r="J9" s="8"/>
      <c r="K9" s="8"/>
      <c r="V9" s="13" t="s">
        <v>16</v>
      </c>
      <c r="W9" s="6">
        <f>COUNTIFS(D2:D199,D209,H2:H199,"&gt;1")</f>
        <v>6</v>
      </c>
      <c r="X9" s="6">
        <f>COUNTIFS(D2:D199,D209,I2:I199,"&gt;1")</f>
        <v>6</v>
      </c>
      <c r="Y9" s="6">
        <f>COUNTIFS(D2:D199,D209,J2:J199,"&gt;1")</f>
        <v>3</v>
      </c>
      <c r="Z9" s="6">
        <f>COUNTIFS(D2:D199,D209,K2:K199,"&gt;1")</f>
        <v>1</v>
      </c>
      <c r="AA9" s="13">
        <f t="shared" si="4"/>
        <v>16</v>
      </c>
      <c r="AB9" s="17">
        <f t="shared" si="5"/>
        <v>0.4102564103</v>
      </c>
      <c r="AC9" s="17"/>
      <c r="AD9" s="17"/>
      <c r="AE9" s="17"/>
      <c r="AF9" s="17"/>
    </row>
    <row r="10" ht="29.25" customHeight="1">
      <c r="A10" s="67">
        <v>46101.0</v>
      </c>
      <c r="B10" s="84" t="s">
        <v>263</v>
      </c>
      <c r="C10" s="85" t="s">
        <v>27</v>
      </c>
      <c r="D10" s="6" t="s">
        <v>28</v>
      </c>
      <c r="E10" s="6" t="s">
        <v>17</v>
      </c>
      <c r="F10" s="6" t="s">
        <v>45</v>
      </c>
      <c r="G10" s="6" t="s">
        <v>19</v>
      </c>
      <c r="H10" s="84">
        <v>260000.0</v>
      </c>
      <c r="I10" s="8"/>
      <c r="J10" s="8"/>
      <c r="K10" s="8"/>
      <c r="L10" s="29" t="s">
        <v>191</v>
      </c>
      <c r="N10" s="30" t="s">
        <v>25</v>
      </c>
      <c r="O10" s="30" t="s">
        <v>49</v>
      </c>
      <c r="R10" s="30" t="s">
        <v>50</v>
      </c>
      <c r="S10" s="30" t="s">
        <v>51</v>
      </c>
      <c r="T10" s="31" t="s">
        <v>264</v>
      </c>
      <c r="U10" s="31" t="s">
        <v>53</v>
      </c>
      <c r="V10" s="23"/>
    </row>
    <row r="11">
      <c r="A11" s="67">
        <v>46104.0</v>
      </c>
      <c r="B11" s="84" t="s">
        <v>265</v>
      </c>
      <c r="C11" s="86" t="s">
        <v>15</v>
      </c>
      <c r="D11" s="6" t="s">
        <v>34</v>
      </c>
      <c r="E11" s="6" t="s">
        <v>17</v>
      </c>
      <c r="F11" s="6" t="s">
        <v>45</v>
      </c>
      <c r="G11" s="6" t="s">
        <v>46</v>
      </c>
      <c r="H11" s="8"/>
      <c r="I11" s="8"/>
      <c r="J11" s="8"/>
      <c r="K11" s="83">
        <v>70000.0</v>
      </c>
      <c r="L11" s="13"/>
      <c r="N11" s="13">
        <v>3750000.0</v>
      </c>
      <c r="O11" s="13">
        <v>1.5E7</v>
      </c>
      <c r="R11" s="13" t="s">
        <v>20</v>
      </c>
      <c r="S11" s="13">
        <f>O14-T26</f>
        <v>-472300</v>
      </c>
      <c r="T11" s="31">
        <f>S11+I24</f>
        <v>-392300</v>
      </c>
      <c r="U11" s="32">
        <f t="shared" ref="U11:U14" si="6">T11-T19</f>
        <v>-859886.0343</v>
      </c>
      <c r="V11" s="13" t="s">
        <v>55</v>
      </c>
      <c r="W11" s="6">
        <f>COUNTIFS(E2:E199,E203,H2:H199,"&gt;1")</f>
        <v>0</v>
      </c>
      <c r="X11" s="6">
        <f>COUNTIFS(E2:E199,E203,I2:I199,"&gt;1")</f>
        <v>0</v>
      </c>
      <c r="Y11" s="6">
        <f>COUNTIFS(E2:E199,E203,J2:J199,"&gt;1")</f>
        <v>0</v>
      </c>
      <c r="Z11" s="6">
        <f>COUNTIFS(E2:E199,E203,K2:K199,"&gt;1")</f>
        <v>1</v>
      </c>
      <c r="AA11" s="13">
        <f t="shared" ref="AA11:AA12" si="7">SUM(W11:Z11)</f>
        <v>1</v>
      </c>
      <c r="AB11" s="17">
        <f t="shared" ref="AB11:AB12" si="8">AA11/$W$1</f>
        <v>0.02564102564</v>
      </c>
      <c r="AC11" s="17"/>
      <c r="AD11" s="17"/>
      <c r="AE11" s="17"/>
      <c r="AF11" s="17"/>
    </row>
    <row r="12">
      <c r="A12" s="67">
        <v>46105.0</v>
      </c>
      <c r="B12" s="8" t="s">
        <v>266</v>
      </c>
      <c r="C12" s="9" t="s">
        <v>15</v>
      </c>
      <c r="D12" s="6" t="s">
        <v>28</v>
      </c>
      <c r="E12" s="6" t="s">
        <v>17</v>
      </c>
      <c r="F12" s="6" t="s">
        <v>45</v>
      </c>
      <c r="G12" s="6" t="s">
        <v>19</v>
      </c>
      <c r="H12" s="8"/>
      <c r="I12" s="8">
        <v>666000.0</v>
      </c>
      <c r="J12" s="8"/>
      <c r="K12" s="8"/>
      <c r="L12" s="23" t="s">
        <v>173</v>
      </c>
      <c r="R12" s="13" t="s">
        <v>8</v>
      </c>
      <c r="S12" s="13">
        <f>O15-T28</f>
        <v>1536581</v>
      </c>
      <c r="T12" s="31">
        <f>S12-I24-I32-I33</f>
        <v>1112344</v>
      </c>
      <c r="U12" s="32">
        <f t="shared" si="6"/>
        <v>564598.2178</v>
      </c>
      <c r="V12" s="13" t="s">
        <v>17</v>
      </c>
      <c r="W12" s="6">
        <f>COUNTIFS(E2:E199,E204,H2:H199,"&gt;1")</f>
        <v>11</v>
      </c>
      <c r="X12" s="6">
        <f>COUNTIFS(E2:E199,E204,I2:I199,"&gt;1")</f>
        <v>9</v>
      </c>
      <c r="Y12" s="6">
        <f>COUNTIFS(E2:E199,E204,J2:J199,"&gt;1")</f>
        <v>6</v>
      </c>
      <c r="Z12" s="6">
        <f>COUNTIFS(E2:E199,E204,K2:K199,"&gt;1")</f>
        <v>12</v>
      </c>
      <c r="AA12" s="13">
        <f t="shared" si="7"/>
        <v>38</v>
      </c>
      <c r="AB12" s="17">
        <f t="shared" si="8"/>
        <v>0.9743589744</v>
      </c>
      <c r="AC12" s="17"/>
      <c r="AD12" s="17"/>
      <c r="AE12" s="17"/>
      <c r="AF12" s="17"/>
    </row>
    <row r="13">
      <c r="A13" s="67">
        <v>46105.0</v>
      </c>
      <c r="B13" s="8" t="s">
        <v>267</v>
      </c>
      <c r="C13" s="9" t="s">
        <v>15</v>
      </c>
      <c r="D13" s="6" t="s">
        <v>24</v>
      </c>
      <c r="E13" s="6" t="s">
        <v>17</v>
      </c>
      <c r="F13" s="6" t="s">
        <v>45</v>
      </c>
      <c r="G13" s="6" t="s">
        <v>46</v>
      </c>
      <c r="H13" s="8"/>
      <c r="I13" s="8"/>
      <c r="J13" s="8">
        <v>50000.0</v>
      </c>
      <c r="K13" s="8"/>
      <c r="M13" s="30" t="s">
        <v>59</v>
      </c>
      <c r="N13" s="33" t="s">
        <v>60</v>
      </c>
      <c r="O13" s="33" t="s">
        <v>61</v>
      </c>
      <c r="P13" s="34" t="s">
        <v>62</v>
      </c>
      <c r="R13" s="13" t="s">
        <v>9</v>
      </c>
      <c r="S13" s="13">
        <f>O16-T30</f>
        <v>324770</v>
      </c>
      <c r="T13" s="31">
        <f>S13+I32+I33</f>
        <v>669007</v>
      </c>
      <c r="U13" s="32">
        <f t="shared" si="6"/>
        <v>116550.9846</v>
      </c>
    </row>
    <row r="14">
      <c r="A14" s="67">
        <v>46106.0</v>
      </c>
      <c r="B14" s="9" t="s">
        <v>268</v>
      </c>
      <c r="C14" s="9" t="s">
        <v>15</v>
      </c>
      <c r="D14" s="6" t="s">
        <v>16</v>
      </c>
      <c r="E14" s="6" t="s">
        <v>17</v>
      </c>
      <c r="F14" s="6" t="s">
        <v>45</v>
      </c>
      <c r="G14" s="6" t="s">
        <v>19</v>
      </c>
      <c r="H14" s="8">
        <v>150000.0</v>
      </c>
      <c r="I14" s="8"/>
      <c r="J14" s="8"/>
      <c r="K14" s="8"/>
      <c r="M14" s="13">
        <f>COUNT(H2:H199)</f>
        <v>11</v>
      </c>
      <c r="N14" s="35" t="s">
        <v>20</v>
      </c>
      <c r="O14" s="6">
        <f>SUMIF(C2:C199,C203,H2:H199)</f>
        <v>450000</v>
      </c>
      <c r="P14" s="6">
        <f>SUMIF(C2:C199,C204,H2:H199)</f>
        <v>1024000</v>
      </c>
      <c r="R14" s="13" t="s">
        <v>10</v>
      </c>
      <c r="S14" s="13">
        <f>O17-T32</f>
        <v>230726</v>
      </c>
      <c r="T14" s="31">
        <f>S14</f>
        <v>230726</v>
      </c>
      <c r="U14" s="32">
        <f t="shared" si="6"/>
        <v>-299263.1681</v>
      </c>
      <c r="V14" s="13" t="s">
        <v>45</v>
      </c>
      <c r="W14" s="6">
        <f>COUNTIFS(F2:F199,F203,H2:H199,"&gt;1")</f>
        <v>8</v>
      </c>
      <c r="X14" s="6">
        <f>COUNTIFS(F2:F199,F203,I2:I199,"&gt;1")</f>
        <v>5</v>
      </c>
      <c r="Y14" s="6">
        <f>COUNTIFS(F2:F199,F203,J2:J199,"&gt;1")</f>
        <v>4</v>
      </c>
      <c r="Z14" s="6">
        <f>COUNTIFS(F2:F199,F203,K2:K199,"&gt;1")</f>
        <v>10</v>
      </c>
      <c r="AA14" s="13">
        <f t="shared" ref="AA14:AA15" si="9">SUM(W14:Z14)</f>
        <v>27</v>
      </c>
      <c r="AB14" s="17">
        <f t="shared" ref="AB14:AB15" si="10">AA14/$W$1</f>
        <v>0.6923076923</v>
      </c>
      <c r="AC14" s="17"/>
      <c r="AD14" s="17"/>
      <c r="AE14" s="17"/>
      <c r="AF14" s="17"/>
    </row>
    <row r="15">
      <c r="A15" s="67">
        <v>46107.0</v>
      </c>
      <c r="B15" s="85" t="s">
        <v>269</v>
      </c>
      <c r="C15" s="86" t="s">
        <v>15</v>
      </c>
      <c r="D15" s="6" t="s">
        <v>37</v>
      </c>
      <c r="E15" s="6" t="s">
        <v>17</v>
      </c>
      <c r="F15" s="6" t="s">
        <v>45</v>
      </c>
      <c r="G15" s="6" t="s">
        <v>19</v>
      </c>
      <c r="H15" s="8"/>
      <c r="I15" s="8"/>
      <c r="J15" s="8"/>
      <c r="K15" s="83">
        <v>130000.0</v>
      </c>
      <c r="L15" s="31" t="s">
        <v>270</v>
      </c>
      <c r="M15" s="13">
        <f>COUNT(I2:I199)</f>
        <v>9</v>
      </c>
      <c r="N15" s="35" t="s">
        <v>8</v>
      </c>
      <c r="O15" s="6">
        <f>SUMIF(C2:C199,C203,I2:I199)</f>
        <v>1896581</v>
      </c>
      <c r="P15" s="6">
        <f>SUMIF(C2:C199,C204,I2:I199)</f>
        <v>510000</v>
      </c>
      <c r="T15" s="31" t="s">
        <v>65</v>
      </c>
      <c r="V15" s="13" t="s">
        <v>18</v>
      </c>
      <c r="W15" s="6">
        <f>COUNTIFS(F2:F199,F204,H2:H199,"&gt;1")</f>
        <v>3</v>
      </c>
      <c r="X15" s="6">
        <f>COUNTIFS(F2:F199,F204,I2:I199,"&gt;1")</f>
        <v>4</v>
      </c>
      <c r="Y15" s="6">
        <f>COUNTIFS(F2:F199,F204,J2:J199,"&gt;1")</f>
        <v>2</v>
      </c>
      <c r="Z15" s="6">
        <f>COUNTIFS(F2:F199,F204,K2:K199,"&gt;1")</f>
        <v>3</v>
      </c>
      <c r="AA15" s="13">
        <f t="shared" si="9"/>
        <v>12</v>
      </c>
      <c r="AB15" s="17">
        <f t="shared" si="10"/>
        <v>0.3076923077</v>
      </c>
      <c r="AC15" s="17"/>
      <c r="AD15" s="17"/>
      <c r="AE15" s="17"/>
      <c r="AF15" s="17"/>
    </row>
    <row r="16">
      <c r="A16" s="67">
        <v>46108.0</v>
      </c>
      <c r="B16" s="8" t="s">
        <v>271</v>
      </c>
      <c r="C16" s="9" t="s">
        <v>15</v>
      </c>
      <c r="D16" s="6" t="s">
        <v>34</v>
      </c>
      <c r="E16" s="6" t="s">
        <v>17</v>
      </c>
      <c r="F16" s="6" t="s">
        <v>45</v>
      </c>
      <c r="G16" s="6" t="s">
        <v>19</v>
      </c>
      <c r="H16" s="8"/>
      <c r="I16" s="8"/>
      <c r="J16" s="8"/>
      <c r="K16" s="8">
        <v>80000.0</v>
      </c>
      <c r="M16" s="13">
        <f>COUNT(J2:J199)</f>
        <v>6</v>
      </c>
      <c r="N16" s="35" t="s">
        <v>9</v>
      </c>
      <c r="O16" s="6">
        <f>SUMIF(C2:C199,C203,J2:J199)</f>
        <v>2076380</v>
      </c>
      <c r="P16" s="6">
        <f>SUMIF(C2:C199,C204,J2:J199)</f>
        <v>385000</v>
      </c>
      <c r="R16" s="30" t="s">
        <v>67</v>
      </c>
      <c r="S16" s="38">
        <f>Q7 * 0.65</f>
        <v>1363555.05</v>
      </c>
    </row>
    <row r="17">
      <c r="A17" s="67">
        <v>46108.0</v>
      </c>
      <c r="B17" s="84" t="s">
        <v>272</v>
      </c>
      <c r="C17" s="85" t="s">
        <v>27</v>
      </c>
      <c r="D17" s="6" t="s">
        <v>16</v>
      </c>
      <c r="E17" s="6" t="s">
        <v>17</v>
      </c>
      <c r="F17" s="6" t="s">
        <v>45</v>
      </c>
      <c r="G17" s="6" t="s">
        <v>19</v>
      </c>
      <c r="H17" s="8"/>
      <c r="I17" s="8"/>
      <c r="J17" s="84">
        <v>160000.0</v>
      </c>
      <c r="K17" s="8"/>
      <c r="L17" s="23" t="s">
        <v>273</v>
      </c>
      <c r="M17" s="13">
        <f>COUNT(K2:K199)</f>
        <v>13</v>
      </c>
      <c r="N17" s="35" t="s">
        <v>69</v>
      </c>
      <c r="O17" s="6">
        <f>SUMIF(C2:C199,C203,K2:K199)</f>
        <v>1720000</v>
      </c>
      <c r="P17" s="6">
        <f>SUMIF(C2:C199,C204,K2:K199)</f>
        <v>480000</v>
      </c>
      <c r="R17" s="13" t="s">
        <v>70</v>
      </c>
      <c r="S17" s="39">
        <f>S16/4</f>
        <v>340888.7625</v>
      </c>
      <c r="V17" s="13" t="s">
        <v>46</v>
      </c>
      <c r="W17" s="6">
        <f>COUNTIFS(G2:G199,G203,H2:H199,"&gt;1")</f>
        <v>5</v>
      </c>
      <c r="X17" s="6">
        <f>COUNTIFS(G2:G199,G203,I2:I199,"&gt;1")</f>
        <v>2</v>
      </c>
      <c r="Y17" s="6">
        <f>COUNTIFS(G2:G199,G203,J2:J199,"&gt;1")</f>
        <v>1</v>
      </c>
      <c r="Z17" s="6">
        <f>COUNTIFS(G2:G199,G203,K2:K199,"&gt;1")</f>
        <v>3</v>
      </c>
      <c r="AA17" s="13">
        <f t="shared" ref="AA17:AA18" si="11">SUM(W17:Z17)</f>
        <v>11</v>
      </c>
      <c r="AB17" s="17">
        <f t="shared" ref="AB17:AB18" si="12">AA17/$W$1</f>
        <v>0.2820512821</v>
      </c>
      <c r="AC17" s="17"/>
      <c r="AD17" s="17"/>
      <c r="AE17" s="17"/>
      <c r="AF17" s="17"/>
    </row>
    <row r="18">
      <c r="A18" s="67">
        <v>46111.0</v>
      </c>
      <c r="B18" s="84" t="s">
        <v>274</v>
      </c>
      <c r="C18" s="85" t="s">
        <v>27</v>
      </c>
      <c r="D18" s="6" t="s">
        <v>24</v>
      </c>
      <c r="E18" s="6" t="s">
        <v>17</v>
      </c>
      <c r="F18" s="6" t="s">
        <v>45</v>
      </c>
      <c r="G18" s="6" t="s">
        <v>19</v>
      </c>
      <c r="H18" s="8"/>
      <c r="I18" s="8"/>
      <c r="J18" s="84">
        <v>225000.0</v>
      </c>
      <c r="K18" s="8"/>
      <c r="M18" s="31">
        <f>SUM(M14+M15+M16+M17)</f>
        <v>39</v>
      </c>
      <c r="N18" s="30" t="s">
        <v>72</v>
      </c>
      <c r="O18" s="40">
        <f>O17+O16+O14+O15</f>
        <v>6142961</v>
      </c>
      <c r="P18" s="40">
        <f>SUM(P14+P15+P16+P17)</f>
        <v>2399000</v>
      </c>
      <c r="R18" s="30" t="s">
        <v>73</v>
      </c>
      <c r="S18" s="38">
        <f>Q7 * 0.35</f>
        <v>734221.95</v>
      </c>
      <c r="T18" s="34" t="s">
        <v>74</v>
      </c>
      <c r="V18" s="13" t="s">
        <v>19</v>
      </c>
      <c r="W18" s="6">
        <f>COUNTIFS(G2:G199,G204,H2:H199,"&gt;1")</f>
        <v>6</v>
      </c>
      <c r="X18" s="6">
        <f>COUNTIFS(G2:G199,G204,I2:I199,"&gt;1")</f>
        <v>7</v>
      </c>
      <c r="Y18" s="6">
        <f>COUNTIFS(G2:G199,G204,J2:J199,"&gt;1")</f>
        <v>5</v>
      </c>
      <c r="Z18" s="6">
        <f>COUNTIFS(G2:G199,G204,K2:K199,"&gt;1")</f>
        <v>10</v>
      </c>
      <c r="AA18" s="13">
        <f t="shared" si="11"/>
        <v>28</v>
      </c>
      <c r="AB18" s="17">
        <f t="shared" si="12"/>
        <v>0.7179487179</v>
      </c>
      <c r="AC18" s="17"/>
      <c r="AD18" s="17"/>
      <c r="AE18" s="17"/>
      <c r="AF18" s="17"/>
    </row>
    <row r="19">
      <c r="A19" s="67">
        <v>46112.0</v>
      </c>
      <c r="B19" s="8" t="s">
        <v>275</v>
      </c>
      <c r="C19" s="9" t="s">
        <v>15</v>
      </c>
      <c r="D19" s="6" t="s">
        <v>16</v>
      </c>
      <c r="E19" s="6" t="s">
        <v>17</v>
      </c>
      <c r="F19" s="6" t="s">
        <v>45</v>
      </c>
      <c r="G19" s="6" t="s">
        <v>46</v>
      </c>
      <c r="H19" s="8">
        <v>20000.0</v>
      </c>
      <c r="I19" s="8"/>
      <c r="J19" s="8"/>
      <c r="K19" s="8"/>
      <c r="P19" s="30" t="s">
        <v>76</v>
      </c>
      <c r="R19" s="13" t="s">
        <v>20</v>
      </c>
      <c r="S19" s="39">
        <f>S18*M4</f>
        <v>126697.2718</v>
      </c>
      <c r="T19" s="41">
        <f>S17+S19</f>
        <v>467586.0343</v>
      </c>
    </row>
    <row r="20" ht="15.75" customHeight="1">
      <c r="A20" s="67">
        <v>46112.0</v>
      </c>
      <c r="B20" s="8" t="s">
        <v>276</v>
      </c>
      <c r="C20" s="9" t="s">
        <v>15</v>
      </c>
      <c r="D20" s="6" t="s">
        <v>16</v>
      </c>
      <c r="E20" s="6" t="s">
        <v>17</v>
      </c>
      <c r="F20" s="6" t="s">
        <v>18</v>
      </c>
      <c r="G20" s="6" t="s">
        <v>19</v>
      </c>
      <c r="H20" s="8"/>
      <c r="I20" s="8"/>
      <c r="J20" s="8">
        <v>852380.0</v>
      </c>
      <c r="P20" s="42">
        <f>P18+L11</f>
        <v>2399000</v>
      </c>
      <c r="R20" s="13" t="s">
        <v>8</v>
      </c>
      <c r="S20" s="39">
        <f>S18*N4</f>
        <v>206857.0197</v>
      </c>
      <c r="T20" s="41">
        <f>S17+S20</f>
        <v>547745.7822</v>
      </c>
      <c r="V20" s="5" t="s">
        <v>78</v>
      </c>
      <c r="W20" s="6"/>
      <c r="X20" s="6"/>
      <c r="Y20" s="6"/>
      <c r="Z20" s="6"/>
    </row>
    <row r="21" ht="15.75" customHeight="1">
      <c r="A21" s="67">
        <v>46112.0</v>
      </c>
      <c r="B21" s="8" t="s">
        <v>277</v>
      </c>
      <c r="C21" s="9" t="s">
        <v>15</v>
      </c>
      <c r="D21" s="6" t="s">
        <v>16</v>
      </c>
      <c r="E21" s="6" t="s">
        <v>17</v>
      </c>
      <c r="F21" s="6" t="s">
        <v>18</v>
      </c>
      <c r="G21" s="6" t="s">
        <v>19</v>
      </c>
      <c r="H21" s="8"/>
      <c r="I21" s="8"/>
      <c r="J21" s="8">
        <v>300000.0</v>
      </c>
      <c r="K21" s="8"/>
      <c r="N21" s="30" t="s">
        <v>80</v>
      </c>
      <c r="O21" s="43">
        <f>O18+P18</f>
        <v>8541961</v>
      </c>
      <c r="P21" s="30" t="s">
        <v>81</v>
      </c>
      <c r="R21" s="13" t="s">
        <v>9</v>
      </c>
      <c r="S21" s="39">
        <f>S18*O4</f>
        <v>211567.2529</v>
      </c>
      <c r="T21" s="41">
        <f>S17+S21</f>
        <v>552456.0154</v>
      </c>
      <c r="V21" s="13" t="s">
        <v>46</v>
      </c>
      <c r="W21" s="6">
        <f>SUMIF(G2:G199,G203,H2:H199)</f>
        <v>434000</v>
      </c>
      <c r="X21" s="6">
        <f>SUMIF(G2:G199,G203,I2:I199)</f>
        <v>130000</v>
      </c>
      <c r="Y21" s="6">
        <f>SUMIF(G2:G199,G203,J2:J199)</f>
        <v>50000</v>
      </c>
      <c r="Z21" s="6">
        <f>SUMIF(G2:G199,G203,K2:K199)</f>
        <v>150000</v>
      </c>
      <c r="AA21" s="23"/>
      <c r="AB21" s="23"/>
      <c r="AC21" s="23"/>
      <c r="AD21" s="23"/>
      <c r="AE21" s="23"/>
      <c r="AF21" s="23"/>
    </row>
    <row r="22" ht="15.75" customHeight="1">
      <c r="A22" s="67">
        <v>46114.0</v>
      </c>
      <c r="B22" s="84" t="s">
        <v>77</v>
      </c>
      <c r="C22" s="85" t="s">
        <v>27</v>
      </c>
      <c r="D22" s="6" t="s">
        <v>16</v>
      </c>
      <c r="E22" s="6" t="s">
        <v>17</v>
      </c>
      <c r="F22" s="6" t="s">
        <v>18</v>
      </c>
      <c r="G22" s="6" t="s">
        <v>19</v>
      </c>
      <c r="H22" s="84">
        <v>100000.0</v>
      </c>
      <c r="I22" s="8"/>
      <c r="J22" s="8"/>
      <c r="K22" s="8"/>
      <c r="N22" s="30" t="s">
        <v>83</v>
      </c>
      <c r="O22" s="43">
        <f>O18+P18+L11</f>
        <v>8541961</v>
      </c>
      <c r="P22" s="42">
        <f>P20+L11-T34</f>
        <v>478000</v>
      </c>
      <c r="R22" s="13" t="s">
        <v>10</v>
      </c>
      <c r="S22" s="39">
        <f>S18*P4</f>
        <v>189100.4056</v>
      </c>
      <c r="T22" s="41">
        <f>S17+S22</f>
        <v>529989.1681</v>
      </c>
      <c r="V22" s="13" t="s">
        <v>19</v>
      </c>
      <c r="W22" s="6">
        <f>SUMIF(G2:G199,G204,H2:H199)</f>
        <v>1040000</v>
      </c>
      <c r="X22" s="6">
        <f>SUMIF(G2:G199,G204,I2:I199)</f>
        <v>2276581</v>
      </c>
      <c r="Y22" s="6">
        <f>SUMIF(G2:G199,G204,J2:J199)</f>
        <v>2411380</v>
      </c>
      <c r="Z22" s="6">
        <f>SUMIF(G2:G199,G204,K2:K199)</f>
        <v>2050000</v>
      </c>
      <c r="AA22" s="23"/>
      <c r="AB22" s="23"/>
      <c r="AC22" s="23"/>
      <c r="AD22" s="23"/>
      <c r="AE22" s="23"/>
      <c r="AF22" s="23"/>
    </row>
    <row r="23" ht="15.75" customHeight="1">
      <c r="A23" s="67">
        <v>46114.0</v>
      </c>
      <c r="B23" s="8" t="s">
        <v>265</v>
      </c>
      <c r="C23" s="9" t="s">
        <v>15</v>
      </c>
      <c r="D23" s="6" t="s">
        <v>37</v>
      </c>
      <c r="E23" s="6" t="s">
        <v>17</v>
      </c>
      <c r="F23" s="6" t="s">
        <v>45</v>
      </c>
      <c r="G23" s="6" t="s">
        <v>19</v>
      </c>
      <c r="H23" s="8"/>
      <c r="I23" s="8"/>
      <c r="J23" s="8"/>
      <c r="K23" s="8">
        <v>500000.0</v>
      </c>
      <c r="M23" s="44"/>
      <c r="N23" s="45"/>
      <c r="O23" s="45" t="s">
        <v>85</v>
      </c>
      <c r="P23" s="45" t="s">
        <v>86</v>
      </c>
      <c r="Q23" s="45"/>
      <c r="R23" s="46"/>
      <c r="S23" s="47"/>
      <c r="V23" s="48" t="s">
        <v>21</v>
      </c>
      <c r="W23" s="48">
        <f t="shared" ref="W23:Z23" si="13">W21+W22</f>
        <v>1474000</v>
      </c>
      <c r="X23" s="48">
        <f t="shared" si="13"/>
        <v>2406581</v>
      </c>
      <c r="Y23" s="48">
        <f t="shared" si="13"/>
        <v>2461380</v>
      </c>
      <c r="Z23" s="48">
        <f t="shared" si="13"/>
        <v>2200000</v>
      </c>
      <c r="AA23" s="49"/>
      <c r="AB23" s="49"/>
      <c r="AC23" s="49"/>
      <c r="AD23" s="49"/>
      <c r="AE23" s="49"/>
      <c r="AF23" s="49"/>
    </row>
    <row r="24" ht="15.75" customHeight="1">
      <c r="A24" s="67">
        <v>46118.0</v>
      </c>
      <c r="B24" s="87" t="s">
        <v>278</v>
      </c>
      <c r="C24" s="3" t="s">
        <v>15</v>
      </c>
      <c r="D24" s="6" t="s">
        <v>16</v>
      </c>
      <c r="E24" s="6" t="s">
        <v>17</v>
      </c>
      <c r="F24" s="6" t="s">
        <v>45</v>
      </c>
      <c r="G24" s="6" t="s">
        <v>46</v>
      </c>
      <c r="H24" s="8"/>
      <c r="I24" s="87">
        <v>80000.0</v>
      </c>
      <c r="J24" s="8"/>
      <c r="K24" s="8"/>
      <c r="M24" s="50" t="s">
        <v>88</v>
      </c>
      <c r="N24" s="50" t="s">
        <v>89</v>
      </c>
      <c r="O24" s="50" t="s">
        <v>2</v>
      </c>
      <c r="P24" s="51" t="s">
        <v>90</v>
      </c>
      <c r="Q24" s="51" t="s">
        <v>91</v>
      </c>
      <c r="R24" s="51" t="s">
        <v>92</v>
      </c>
      <c r="S24" s="51" t="s">
        <v>93</v>
      </c>
    </row>
    <row r="25" ht="15.75" customHeight="1">
      <c r="A25" s="67">
        <v>46118.0</v>
      </c>
      <c r="B25" s="84" t="s">
        <v>279</v>
      </c>
      <c r="C25" s="85" t="s">
        <v>27</v>
      </c>
      <c r="D25" s="6" t="s">
        <v>16</v>
      </c>
      <c r="E25" s="6" t="s">
        <v>17</v>
      </c>
      <c r="F25" s="6" t="s">
        <v>18</v>
      </c>
      <c r="G25" s="6" t="s">
        <v>19</v>
      </c>
      <c r="H25" s="8"/>
      <c r="I25" s="8"/>
      <c r="J25" s="8"/>
      <c r="K25" s="84">
        <v>310000.0</v>
      </c>
      <c r="M25" s="52"/>
      <c r="N25" s="19" t="s">
        <v>95</v>
      </c>
      <c r="O25" s="53" t="s">
        <v>27</v>
      </c>
      <c r="P25" s="54" t="s">
        <v>108</v>
      </c>
      <c r="Q25" s="53" t="s">
        <v>96</v>
      </c>
      <c r="R25" s="53">
        <v>750000.0</v>
      </c>
      <c r="S25" s="53"/>
      <c r="T25" s="13" t="s">
        <v>97</v>
      </c>
      <c r="V25" s="55" t="s">
        <v>204</v>
      </c>
      <c r="W25" s="55" t="s">
        <v>99</v>
      </c>
    </row>
    <row r="26" ht="15.75" customHeight="1">
      <c r="A26" s="67">
        <v>46118.0</v>
      </c>
      <c r="B26" s="84" t="s">
        <v>208</v>
      </c>
      <c r="C26" s="85" t="s">
        <v>27</v>
      </c>
      <c r="D26" s="6" t="s">
        <v>28</v>
      </c>
      <c r="E26" s="6" t="s">
        <v>17</v>
      </c>
      <c r="F26" s="6" t="s">
        <v>18</v>
      </c>
      <c r="G26" s="6" t="s">
        <v>19</v>
      </c>
      <c r="H26" s="8"/>
      <c r="I26" s="84">
        <v>510000.0</v>
      </c>
      <c r="J26" s="8"/>
      <c r="K26" s="8"/>
      <c r="M26" s="52"/>
      <c r="N26" s="19" t="s">
        <v>102</v>
      </c>
      <c r="O26" s="53" t="s">
        <v>15</v>
      </c>
      <c r="P26" s="54" t="s">
        <v>10</v>
      </c>
      <c r="Q26" s="53" t="s">
        <v>96</v>
      </c>
      <c r="R26" s="53"/>
      <c r="S26" s="53">
        <v>500000.0</v>
      </c>
      <c r="T26" s="13">
        <f>SUMIF(P25:P199,P203,S25:S199)</f>
        <v>922300</v>
      </c>
      <c r="V26" s="6" t="str">
        <f>R28+R29</f>
        <v>#VALUE!</v>
      </c>
      <c r="W26" s="6">
        <f>R30+R31+R32+R33</f>
        <v>0</v>
      </c>
    </row>
    <row r="27" ht="15.75" customHeight="1">
      <c r="A27" s="67">
        <v>46118.0</v>
      </c>
      <c r="B27" s="8" t="s">
        <v>280</v>
      </c>
      <c r="C27" s="9" t="s">
        <v>15</v>
      </c>
      <c r="D27" s="6" t="s">
        <v>34</v>
      </c>
      <c r="E27" s="6" t="s">
        <v>17</v>
      </c>
      <c r="F27" s="6" t="s">
        <v>45</v>
      </c>
      <c r="G27" s="6" t="s">
        <v>19</v>
      </c>
      <c r="H27" s="8"/>
      <c r="I27" s="8"/>
      <c r="J27" s="8"/>
      <c r="K27" s="8">
        <v>150000.0</v>
      </c>
      <c r="M27" s="52"/>
      <c r="N27" s="19" t="s">
        <v>104</v>
      </c>
      <c r="O27" s="53" t="s">
        <v>15</v>
      </c>
      <c r="P27" s="19" t="s">
        <v>10</v>
      </c>
      <c r="Q27" s="53" t="s">
        <v>96</v>
      </c>
      <c r="R27" s="53"/>
      <c r="S27" s="53">
        <v>500000.0</v>
      </c>
      <c r="T27" s="13" t="s">
        <v>105</v>
      </c>
    </row>
    <row r="28" ht="15.75" customHeight="1">
      <c r="A28" s="67">
        <v>46118.0</v>
      </c>
      <c r="B28" s="8" t="s">
        <v>281</v>
      </c>
      <c r="C28" s="9" t="s">
        <v>15</v>
      </c>
      <c r="D28" s="6" t="s">
        <v>34</v>
      </c>
      <c r="E28" s="6" t="s">
        <v>17</v>
      </c>
      <c r="F28" s="6" t="s">
        <v>45</v>
      </c>
      <c r="G28" s="6" t="s">
        <v>19</v>
      </c>
      <c r="H28" s="8"/>
      <c r="I28" s="8"/>
      <c r="J28" s="8"/>
      <c r="K28" s="8">
        <v>150000.0</v>
      </c>
      <c r="M28" s="52"/>
      <c r="N28" s="19" t="s">
        <v>107</v>
      </c>
      <c r="O28" s="53" t="s">
        <v>15</v>
      </c>
      <c r="P28" s="19" t="s">
        <v>9</v>
      </c>
      <c r="Q28" s="53" t="s">
        <v>96</v>
      </c>
      <c r="R28" s="53"/>
      <c r="S28" s="53">
        <v>1100000.0</v>
      </c>
      <c r="T28" s="13">
        <f>SUMIF(P25:P199,P204,S25:S199)</f>
        <v>360000</v>
      </c>
      <c r="V28" s="56" t="s">
        <v>109</v>
      </c>
      <c r="W28" s="39" t="str">
        <f>V26+W26</f>
        <v>#VALUE!</v>
      </c>
    </row>
    <row r="29" ht="15.75" customHeight="1">
      <c r="A29" s="67">
        <v>46119.0</v>
      </c>
      <c r="B29" s="8" t="s">
        <v>267</v>
      </c>
      <c r="C29" s="9" t="s">
        <v>15</v>
      </c>
      <c r="D29" s="6" t="s">
        <v>24</v>
      </c>
      <c r="E29" s="6" t="s">
        <v>17</v>
      </c>
      <c r="F29" s="6" t="s">
        <v>45</v>
      </c>
      <c r="G29" s="6" t="s">
        <v>19</v>
      </c>
      <c r="H29" s="8"/>
      <c r="I29" s="8"/>
      <c r="J29" s="8">
        <v>874000.0</v>
      </c>
      <c r="K29" s="8"/>
      <c r="M29" s="52"/>
      <c r="N29" s="3" t="s">
        <v>111</v>
      </c>
      <c r="O29" s="53"/>
      <c r="P29" s="19"/>
      <c r="Q29" s="53" t="s">
        <v>96</v>
      </c>
      <c r="R29" s="53" t="s">
        <v>173</v>
      </c>
      <c r="S29" s="53"/>
      <c r="T29" s="13" t="s">
        <v>112</v>
      </c>
    </row>
    <row r="30" ht="15.75" customHeight="1">
      <c r="A30" s="67">
        <v>46119.0</v>
      </c>
      <c r="B30" s="9" t="s">
        <v>282</v>
      </c>
      <c r="C30" s="9" t="s">
        <v>15</v>
      </c>
      <c r="D30" s="6" t="s">
        <v>34</v>
      </c>
      <c r="E30" s="6" t="s">
        <v>17</v>
      </c>
      <c r="F30" s="6" t="s">
        <v>45</v>
      </c>
      <c r="G30" s="6" t="s">
        <v>19</v>
      </c>
      <c r="H30" s="8"/>
      <c r="I30" s="8"/>
      <c r="J30" s="8"/>
      <c r="K30" s="8">
        <v>160000.0</v>
      </c>
      <c r="M30" s="52"/>
      <c r="N30" s="19" t="s">
        <v>114</v>
      </c>
      <c r="O30" s="53" t="s">
        <v>15</v>
      </c>
      <c r="P30" s="19" t="s">
        <v>9</v>
      </c>
      <c r="Q30" s="53" t="s">
        <v>96</v>
      </c>
      <c r="R30" s="22"/>
      <c r="S30" s="22">
        <v>120940.0</v>
      </c>
      <c r="T30" s="57">
        <f>SUMIF(P25:P199,P205,S25:S199)</f>
        <v>1751610</v>
      </c>
      <c r="AA30" s="58"/>
      <c r="AB30" s="58"/>
      <c r="AC30" s="58"/>
      <c r="AD30" s="58"/>
      <c r="AE30" s="58"/>
      <c r="AF30" s="58"/>
    </row>
    <row r="31" ht="15.75" customHeight="1">
      <c r="A31" s="67">
        <v>46121.0</v>
      </c>
      <c r="B31" s="85" t="s">
        <v>229</v>
      </c>
      <c r="C31" s="85" t="s">
        <v>27</v>
      </c>
      <c r="D31" s="6" t="s">
        <v>28</v>
      </c>
      <c r="E31" s="6" t="s">
        <v>17</v>
      </c>
      <c r="F31" s="6" t="s">
        <v>18</v>
      </c>
      <c r="G31" s="6" t="s">
        <v>19</v>
      </c>
      <c r="H31" s="84">
        <v>160000.0</v>
      </c>
      <c r="I31" s="8"/>
      <c r="J31" s="8"/>
      <c r="K31" s="8"/>
      <c r="M31" s="52"/>
      <c r="N31" s="19" t="s">
        <v>116</v>
      </c>
      <c r="O31" s="53" t="s">
        <v>15</v>
      </c>
      <c r="P31" s="19" t="s">
        <v>10</v>
      </c>
      <c r="Q31" s="53" t="s">
        <v>96</v>
      </c>
      <c r="R31" s="53"/>
      <c r="S31" s="53">
        <v>87120.0</v>
      </c>
      <c r="T31" s="13" t="s">
        <v>117</v>
      </c>
      <c r="V31" s="30" t="s">
        <v>25</v>
      </c>
      <c r="W31" s="30" t="s">
        <v>49</v>
      </c>
      <c r="Y31" s="29" t="s">
        <v>118</v>
      </c>
      <c r="Z31" s="59" t="s">
        <v>119</v>
      </c>
    </row>
    <row r="32" ht="24.0" customHeight="1">
      <c r="A32" s="67">
        <v>46121.0</v>
      </c>
      <c r="B32" s="87" t="s">
        <v>283</v>
      </c>
      <c r="C32" s="3" t="s">
        <v>15</v>
      </c>
      <c r="D32" s="6" t="s">
        <v>16</v>
      </c>
      <c r="E32" s="6" t="s">
        <v>17</v>
      </c>
      <c r="F32" s="6" t="s">
        <v>45</v>
      </c>
      <c r="G32" s="6" t="s">
        <v>19</v>
      </c>
      <c r="H32" s="8"/>
      <c r="I32" s="88">
        <v>80000.0</v>
      </c>
      <c r="J32" s="8"/>
      <c r="K32" s="8"/>
      <c r="M32" s="52"/>
      <c r="N32" s="19" t="s">
        <v>121</v>
      </c>
      <c r="O32" s="53" t="s">
        <v>15</v>
      </c>
      <c r="P32" s="19" t="s">
        <v>10</v>
      </c>
      <c r="Q32" s="53" t="s">
        <v>96</v>
      </c>
      <c r="R32" s="53"/>
      <c r="S32" s="53">
        <v>12023.0</v>
      </c>
      <c r="T32" s="13">
        <f>SUMIF(P25:P199,P206,S25:S199)</f>
        <v>1489274</v>
      </c>
      <c r="V32" s="39">
        <f t="shared" ref="V32:W32" si="14">N11</f>
        <v>3750000</v>
      </c>
      <c r="W32" s="39">
        <f t="shared" si="14"/>
        <v>15000000</v>
      </c>
      <c r="Y32" s="39">
        <f>O5</f>
        <v>8541961</v>
      </c>
      <c r="Z32" s="39">
        <f>S4</f>
        <v>6444184</v>
      </c>
    </row>
    <row r="33" ht="15.75" customHeight="1">
      <c r="A33" s="67">
        <v>46121.0</v>
      </c>
      <c r="B33" s="87" t="s">
        <v>284</v>
      </c>
      <c r="C33" s="3" t="s">
        <v>15</v>
      </c>
      <c r="D33" s="6" t="s">
        <v>34</v>
      </c>
      <c r="E33" s="6" t="s">
        <v>17</v>
      </c>
      <c r="F33" s="6" t="s">
        <v>18</v>
      </c>
      <c r="G33" s="6" t="s">
        <v>19</v>
      </c>
      <c r="H33" s="8"/>
      <c r="I33" s="87">
        <v>264237.0</v>
      </c>
      <c r="J33" s="8"/>
      <c r="K33" s="8"/>
      <c r="M33" s="52"/>
      <c r="N33" s="19" t="s">
        <v>123</v>
      </c>
      <c r="O33" s="60" t="s">
        <v>15</v>
      </c>
      <c r="P33" s="19" t="s">
        <v>9</v>
      </c>
      <c r="Q33" s="53" t="s">
        <v>96</v>
      </c>
      <c r="R33" s="53"/>
      <c r="S33" s="53">
        <v>63513.0</v>
      </c>
      <c r="T33" s="61" t="s">
        <v>285</v>
      </c>
      <c r="V33" s="62" t="s">
        <v>125</v>
      </c>
      <c r="W33" s="63"/>
      <c r="X33" s="63"/>
      <c r="Y33" s="63"/>
      <c r="Z33" s="64"/>
    </row>
    <row r="34" ht="15.75" customHeight="1">
      <c r="A34" s="67">
        <v>46121.0</v>
      </c>
      <c r="B34" s="8" t="s">
        <v>286</v>
      </c>
      <c r="C34" s="9" t="s">
        <v>15</v>
      </c>
      <c r="D34" s="6" t="s">
        <v>16</v>
      </c>
      <c r="E34" s="6" t="s">
        <v>17</v>
      </c>
      <c r="F34" s="6" t="s">
        <v>45</v>
      </c>
      <c r="G34" s="6" t="s">
        <v>46</v>
      </c>
      <c r="H34" s="8"/>
      <c r="I34" s="8">
        <v>50000.0</v>
      </c>
      <c r="J34" s="8"/>
      <c r="K34" s="8"/>
      <c r="M34" s="52"/>
      <c r="N34" s="19" t="s">
        <v>127</v>
      </c>
      <c r="O34" s="19" t="s">
        <v>15</v>
      </c>
      <c r="P34" s="19" t="s">
        <v>20</v>
      </c>
      <c r="Q34" s="53" t="s">
        <v>96</v>
      </c>
      <c r="R34" s="53"/>
      <c r="S34" s="65">
        <v>500000.0</v>
      </c>
      <c r="T34" s="61">
        <f>SUMIF(P25:P199,P207,R25:R199)</f>
        <v>1921000</v>
      </c>
      <c r="V34" s="29" t="s">
        <v>128</v>
      </c>
      <c r="W34" s="66" t="s">
        <v>20</v>
      </c>
      <c r="X34" s="66" t="s">
        <v>8</v>
      </c>
      <c r="Y34" s="66" t="s">
        <v>9</v>
      </c>
      <c r="Z34" s="66" t="s">
        <v>10</v>
      </c>
    </row>
    <row r="35" ht="15.75" customHeight="1">
      <c r="A35" s="7">
        <v>46122.0</v>
      </c>
      <c r="B35" s="8" t="s">
        <v>286</v>
      </c>
      <c r="C35" s="9" t="s">
        <v>15</v>
      </c>
      <c r="D35" s="6" t="s">
        <v>16</v>
      </c>
      <c r="E35" s="6" t="s">
        <v>17</v>
      </c>
      <c r="F35" s="6" t="s">
        <v>45</v>
      </c>
      <c r="G35" s="6" t="s">
        <v>19</v>
      </c>
      <c r="H35" s="8"/>
      <c r="I35" s="8">
        <v>100000.0</v>
      </c>
      <c r="J35" s="8"/>
      <c r="K35" s="8"/>
      <c r="M35" s="52"/>
      <c r="N35" s="19" t="s">
        <v>130</v>
      </c>
      <c r="O35" s="19" t="s">
        <v>15</v>
      </c>
      <c r="P35" s="19" t="s">
        <v>9</v>
      </c>
      <c r="Q35" s="53" t="s">
        <v>96</v>
      </c>
      <c r="R35" s="53"/>
      <c r="S35" s="53">
        <v>21000.0</v>
      </c>
      <c r="V35" s="13" t="s">
        <v>131</v>
      </c>
      <c r="W35" s="13">
        <f>M14</f>
        <v>11</v>
      </c>
      <c r="X35" s="13">
        <f>M15</f>
        <v>9</v>
      </c>
      <c r="Y35" s="13">
        <f>M16</f>
        <v>6</v>
      </c>
      <c r="Z35" s="13">
        <f>M17</f>
        <v>13</v>
      </c>
    </row>
    <row r="36" ht="15.75" customHeight="1">
      <c r="A36" s="7">
        <v>46123.0</v>
      </c>
      <c r="B36" s="84" t="s">
        <v>287</v>
      </c>
      <c r="C36" s="85" t="s">
        <v>27</v>
      </c>
      <c r="D36" s="6" t="s">
        <v>16</v>
      </c>
      <c r="E36" s="6" t="s">
        <v>17</v>
      </c>
      <c r="F36" s="6" t="s">
        <v>45</v>
      </c>
      <c r="G36" s="6" t="s">
        <v>46</v>
      </c>
      <c r="H36" s="84">
        <v>80000.0</v>
      </c>
      <c r="I36" s="8"/>
      <c r="J36" s="6"/>
      <c r="K36" s="8"/>
      <c r="M36" s="52"/>
      <c r="N36" s="3" t="s">
        <v>132</v>
      </c>
      <c r="O36" s="19"/>
      <c r="P36" s="19"/>
      <c r="Q36" s="53" t="s">
        <v>96</v>
      </c>
      <c r="R36" s="53"/>
      <c r="S36" s="53"/>
      <c r="V36" s="13" t="s">
        <v>133</v>
      </c>
      <c r="W36" s="13">
        <f t="shared" ref="W36:Z36" si="15">W21</f>
        <v>434000</v>
      </c>
      <c r="X36" s="13">
        <f t="shared" si="15"/>
        <v>130000</v>
      </c>
      <c r="Y36" s="13">
        <f t="shared" si="15"/>
        <v>50000</v>
      </c>
      <c r="Z36" s="13">
        <f t="shared" si="15"/>
        <v>150000</v>
      </c>
    </row>
    <row r="37" ht="15.75" customHeight="1">
      <c r="A37" s="7">
        <v>46123.0</v>
      </c>
      <c r="B37" s="84" t="s">
        <v>288</v>
      </c>
      <c r="C37" s="85" t="s">
        <v>27</v>
      </c>
      <c r="D37" s="6" t="s">
        <v>16</v>
      </c>
      <c r="E37" s="6" t="s">
        <v>17</v>
      </c>
      <c r="F37" s="6" t="s">
        <v>45</v>
      </c>
      <c r="G37" s="6" t="s">
        <v>46</v>
      </c>
      <c r="H37" s="84">
        <v>254000.0</v>
      </c>
      <c r="I37" s="8"/>
      <c r="J37" s="8"/>
      <c r="K37" s="8"/>
      <c r="M37" s="52"/>
      <c r="N37" s="19" t="s">
        <v>134</v>
      </c>
      <c r="O37" s="54" t="s">
        <v>15</v>
      </c>
      <c r="P37" s="19" t="s">
        <v>20</v>
      </c>
      <c r="Q37" s="53" t="s">
        <v>96</v>
      </c>
      <c r="R37" s="53"/>
      <c r="S37" s="53">
        <v>30000.0</v>
      </c>
      <c r="V37" s="13" t="s">
        <v>135</v>
      </c>
      <c r="W37" s="13">
        <f t="shared" ref="W37:Z37" si="16">W22</f>
        <v>1040000</v>
      </c>
      <c r="X37" s="13">
        <f t="shared" si="16"/>
        <v>2276581</v>
      </c>
      <c r="Y37" s="13">
        <f t="shared" si="16"/>
        <v>2411380</v>
      </c>
      <c r="Z37" s="13">
        <f t="shared" si="16"/>
        <v>2050000</v>
      </c>
    </row>
    <row r="38" ht="15.75" customHeight="1">
      <c r="A38" s="7">
        <v>46123.0</v>
      </c>
      <c r="B38" s="9" t="s">
        <v>289</v>
      </c>
      <c r="C38" s="9" t="s">
        <v>15</v>
      </c>
      <c r="D38" s="6" t="s">
        <v>16</v>
      </c>
      <c r="E38" s="6" t="s">
        <v>17</v>
      </c>
      <c r="F38" s="6" t="s">
        <v>18</v>
      </c>
      <c r="G38" s="6" t="s">
        <v>19</v>
      </c>
      <c r="H38" s="8"/>
      <c r="I38" s="8">
        <v>406344.0</v>
      </c>
      <c r="J38" s="8"/>
      <c r="K38" s="8"/>
      <c r="M38" s="52"/>
      <c r="N38" s="19" t="s">
        <v>136</v>
      </c>
      <c r="O38" s="54" t="s">
        <v>15</v>
      </c>
      <c r="P38" s="19" t="s">
        <v>10</v>
      </c>
      <c r="Q38" s="53" t="s">
        <v>96</v>
      </c>
      <c r="R38" s="53"/>
      <c r="S38" s="53">
        <v>20000.0</v>
      </c>
      <c r="V38" s="29" t="s">
        <v>137</v>
      </c>
      <c r="W38" s="29">
        <f t="shared" ref="W38:Z38" si="17">W36+W37</f>
        <v>1474000</v>
      </c>
      <c r="X38" s="29">
        <f t="shared" si="17"/>
        <v>2406581</v>
      </c>
      <c r="Y38" s="29">
        <f t="shared" si="17"/>
        <v>2461380</v>
      </c>
      <c r="Z38" s="29">
        <f t="shared" si="17"/>
        <v>2200000</v>
      </c>
    </row>
    <row r="39" ht="15.75" customHeight="1">
      <c r="A39" s="7">
        <v>46123.0</v>
      </c>
      <c r="B39" s="8" t="s">
        <v>290</v>
      </c>
      <c r="C39" s="9" t="s">
        <v>15</v>
      </c>
      <c r="D39" s="6" t="s">
        <v>24</v>
      </c>
      <c r="E39" s="6" t="s">
        <v>17</v>
      </c>
      <c r="F39" s="6" t="s">
        <v>18</v>
      </c>
      <c r="G39" s="6" t="s">
        <v>19</v>
      </c>
      <c r="H39" s="8">
        <v>200000.0</v>
      </c>
      <c r="I39" s="8"/>
      <c r="J39" s="8"/>
      <c r="K39" s="8"/>
      <c r="L39" s="89" t="s">
        <v>291</v>
      </c>
      <c r="M39" s="90">
        <v>46097.0</v>
      </c>
      <c r="N39" s="91" t="s">
        <v>292</v>
      </c>
      <c r="O39" s="8"/>
      <c r="P39" s="8"/>
      <c r="Q39" s="6"/>
      <c r="R39" s="8"/>
      <c r="S39" s="6"/>
      <c r="V39" s="13" t="s">
        <v>140</v>
      </c>
      <c r="W39" s="69">
        <f t="shared" ref="W39:Z39" si="18">M3</f>
        <v>0.3930666667</v>
      </c>
      <c r="X39" s="69">
        <f t="shared" si="18"/>
        <v>0.6417549333</v>
      </c>
      <c r="Y39" s="69">
        <f t="shared" si="18"/>
        <v>0.656368</v>
      </c>
      <c r="Z39" s="69">
        <f t="shared" si="18"/>
        <v>0.5866666667</v>
      </c>
    </row>
    <row r="40" ht="15.75" customHeight="1">
      <c r="A40" s="7">
        <v>46125.0</v>
      </c>
      <c r="B40" s="84" t="s">
        <v>293</v>
      </c>
      <c r="C40" s="85" t="s">
        <v>27</v>
      </c>
      <c r="D40" s="6" t="s">
        <v>37</v>
      </c>
      <c r="E40" s="6" t="s">
        <v>17</v>
      </c>
      <c r="F40" s="6" t="s">
        <v>18</v>
      </c>
      <c r="G40" s="6" t="s">
        <v>19</v>
      </c>
      <c r="H40" s="8"/>
      <c r="I40" s="8"/>
      <c r="J40" s="8"/>
      <c r="K40" s="84">
        <v>100000.0</v>
      </c>
      <c r="M40" s="67">
        <v>46097.0</v>
      </c>
      <c r="N40" s="8" t="s">
        <v>294</v>
      </c>
      <c r="O40" s="8" t="s">
        <v>15</v>
      </c>
      <c r="P40" s="8" t="s">
        <v>20</v>
      </c>
      <c r="Q40" s="8"/>
      <c r="R40" s="8"/>
      <c r="S40" s="6">
        <v>75600.0</v>
      </c>
      <c r="V40" s="13" t="s">
        <v>142</v>
      </c>
      <c r="W40" s="69">
        <f t="shared" ref="W40:Z40" si="19">M2/$O$11</f>
        <v>0.09826666667</v>
      </c>
      <c r="X40" s="69">
        <f t="shared" si="19"/>
        <v>0.1604387333</v>
      </c>
      <c r="Y40" s="69">
        <f t="shared" si="19"/>
        <v>0.164092</v>
      </c>
      <c r="Z40" s="69">
        <f t="shared" si="19"/>
        <v>0.1466666667</v>
      </c>
    </row>
    <row r="41" ht="15.75" customHeight="1">
      <c r="A41" s="67"/>
      <c r="B41" s="8"/>
      <c r="C41" s="9"/>
      <c r="D41" s="6"/>
      <c r="E41" s="6"/>
      <c r="F41" s="6"/>
      <c r="G41" s="6"/>
      <c r="H41" s="8"/>
      <c r="I41" s="8"/>
      <c r="J41" s="8"/>
      <c r="K41" s="8"/>
      <c r="M41" s="67">
        <v>46099.0</v>
      </c>
      <c r="N41" s="8" t="s">
        <v>295</v>
      </c>
      <c r="O41" s="8" t="s">
        <v>15</v>
      </c>
      <c r="P41" s="8" t="s">
        <v>20</v>
      </c>
      <c r="Q41" s="8"/>
      <c r="R41" s="8"/>
      <c r="S41" s="8">
        <v>5500.0</v>
      </c>
      <c r="V41" s="13" t="s">
        <v>144</v>
      </c>
      <c r="W41" s="69">
        <f t="shared" ref="W41:Z41" si="20">M4</f>
        <v>0.1725599075</v>
      </c>
      <c r="X41" s="69">
        <f t="shared" si="20"/>
        <v>0.2817363601</v>
      </c>
      <c r="Y41" s="69">
        <f t="shared" si="20"/>
        <v>0.2881516317</v>
      </c>
      <c r="Z41" s="69">
        <f t="shared" si="20"/>
        <v>0.2575521007</v>
      </c>
    </row>
    <row r="42" ht="15.75" customHeight="1">
      <c r="A42" s="67"/>
      <c r="B42" s="8"/>
      <c r="C42" s="9"/>
      <c r="D42" s="6"/>
      <c r="E42" s="6"/>
      <c r="F42" s="6"/>
      <c r="G42" s="6"/>
      <c r="H42" s="8"/>
      <c r="I42" s="8"/>
      <c r="J42" s="8"/>
      <c r="K42" s="8"/>
      <c r="M42" s="67">
        <v>46099.0</v>
      </c>
      <c r="N42" s="68" t="s">
        <v>296</v>
      </c>
      <c r="O42" s="8" t="s">
        <v>15</v>
      </c>
      <c r="P42" s="8" t="s">
        <v>20</v>
      </c>
      <c r="Q42" s="8"/>
      <c r="R42" s="6"/>
      <c r="S42" s="68">
        <v>6200.0</v>
      </c>
    </row>
    <row r="43" ht="15.75" customHeight="1">
      <c r="A43" s="67"/>
      <c r="B43" s="8"/>
      <c r="C43" s="9"/>
      <c r="D43" s="6"/>
      <c r="E43" s="6"/>
      <c r="F43" s="6"/>
      <c r="G43" s="6"/>
      <c r="H43" s="8"/>
      <c r="I43" s="8"/>
      <c r="J43" s="8"/>
      <c r="K43" s="8"/>
      <c r="L43" s="89" t="s">
        <v>297</v>
      </c>
      <c r="M43" s="90">
        <v>46100.0</v>
      </c>
      <c r="N43" s="91" t="s">
        <v>298</v>
      </c>
      <c r="O43" s="8"/>
      <c r="P43" s="8"/>
      <c r="Q43" s="8"/>
      <c r="R43" s="6"/>
      <c r="S43" s="68"/>
    </row>
    <row r="44" ht="15.75" customHeight="1">
      <c r="A44" s="67"/>
      <c r="B44" s="8"/>
      <c r="C44" s="9"/>
      <c r="D44" s="6"/>
      <c r="E44" s="6"/>
      <c r="F44" s="6"/>
      <c r="G44" s="6"/>
      <c r="H44" s="8"/>
      <c r="I44" s="8"/>
      <c r="J44" s="8"/>
      <c r="K44" s="8"/>
      <c r="M44" s="67">
        <v>46100.0</v>
      </c>
      <c r="N44" s="8" t="s">
        <v>299</v>
      </c>
      <c r="O44" s="8" t="s">
        <v>27</v>
      </c>
      <c r="P44" s="8" t="s">
        <v>108</v>
      </c>
      <c r="Q44" s="8" t="s">
        <v>139</v>
      </c>
      <c r="R44" s="6">
        <v>60000.0</v>
      </c>
      <c r="S44" s="8"/>
      <c r="V44" s="70" t="s">
        <v>149</v>
      </c>
      <c r="W44" s="63"/>
      <c r="X44" s="63"/>
      <c r="Y44" s="63"/>
      <c r="Z44" s="64"/>
    </row>
    <row r="45" ht="15.75" customHeight="1">
      <c r="A45" s="67"/>
      <c r="B45" s="8"/>
      <c r="C45" s="9"/>
      <c r="D45" s="6"/>
      <c r="E45" s="6"/>
      <c r="F45" s="6"/>
      <c r="G45" s="6"/>
      <c r="H45" s="8"/>
      <c r="I45" s="8"/>
      <c r="J45" s="8"/>
      <c r="K45" s="8"/>
      <c r="M45" s="67">
        <v>46100.0</v>
      </c>
      <c r="N45" s="8" t="s">
        <v>300</v>
      </c>
      <c r="O45" s="8" t="s">
        <v>15</v>
      </c>
      <c r="P45" s="8" t="s">
        <v>10</v>
      </c>
      <c r="Q45" s="8" t="s">
        <v>139</v>
      </c>
      <c r="R45" s="6"/>
      <c r="S45" s="8">
        <v>45131.0</v>
      </c>
      <c r="V45" s="71"/>
      <c r="W45" s="53" t="s">
        <v>151</v>
      </c>
      <c r="X45" s="53" t="s">
        <v>152</v>
      </c>
      <c r="Y45" s="53" t="s">
        <v>153</v>
      </c>
      <c r="Z45" s="53" t="s">
        <v>154</v>
      </c>
    </row>
    <row r="46" ht="15.75" customHeight="1">
      <c r="A46" s="67"/>
      <c r="B46" s="8"/>
      <c r="C46" s="9"/>
      <c r="D46" s="6"/>
      <c r="E46" s="6"/>
      <c r="F46" s="6"/>
      <c r="G46" s="6"/>
      <c r="H46" s="8"/>
      <c r="I46" s="8"/>
      <c r="J46" s="8"/>
      <c r="K46" s="8"/>
      <c r="M46" s="67">
        <v>46100.0</v>
      </c>
      <c r="N46" s="9" t="s">
        <v>228</v>
      </c>
      <c r="O46" s="8" t="s">
        <v>15</v>
      </c>
      <c r="P46" s="8" t="s">
        <v>10</v>
      </c>
      <c r="Q46" s="8" t="s">
        <v>139</v>
      </c>
      <c r="R46" s="6"/>
      <c r="S46" s="8">
        <v>9000.0</v>
      </c>
      <c r="V46" s="6"/>
      <c r="W46" s="39">
        <f>Q7</f>
        <v>2097777</v>
      </c>
      <c r="X46" s="39">
        <f>P22</f>
        <v>478000</v>
      </c>
      <c r="Y46" s="39">
        <f>S16</f>
        <v>1363555.05</v>
      </c>
      <c r="Z46" s="39">
        <f>S18</f>
        <v>734221.95</v>
      </c>
    </row>
    <row r="47" ht="24.75" customHeight="1">
      <c r="A47" s="67"/>
      <c r="B47" s="8"/>
      <c r="C47" s="9"/>
      <c r="D47" s="6"/>
      <c r="E47" s="6"/>
      <c r="F47" s="6"/>
      <c r="G47" s="6"/>
      <c r="H47" s="8"/>
      <c r="I47" s="8"/>
      <c r="J47" s="8"/>
      <c r="K47" s="8"/>
      <c r="M47" s="67">
        <v>46101.0</v>
      </c>
      <c r="N47" s="9" t="s">
        <v>301</v>
      </c>
      <c r="O47" s="8" t="s">
        <v>27</v>
      </c>
      <c r="P47" s="8" t="s">
        <v>108</v>
      </c>
      <c r="Q47" s="8" t="s">
        <v>96</v>
      </c>
      <c r="R47" s="6">
        <v>60000.0</v>
      </c>
      <c r="S47" s="8"/>
      <c r="V47" s="53" t="s">
        <v>128</v>
      </c>
      <c r="W47" s="72" t="s">
        <v>20</v>
      </c>
      <c r="X47" s="72" t="s">
        <v>8</v>
      </c>
      <c r="Y47" s="72" t="s">
        <v>9</v>
      </c>
      <c r="Z47" s="72" t="s">
        <v>10</v>
      </c>
    </row>
    <row r="48" ht="15.75" customHeight="1">
      <c r="A48" s="67"/>
      <c r="B48" s="8"/>
      <c r="C48" s="9"/>
      <c r="D48" s="6"/>
      <c r="E48" s="6"/>
      <c r="F48" s="6"/>
      <c r="G48" s="6"/>
      <c r="H48" s="8"/>
      <c r="I48" s="8"/>
      <c r="J48" s="8"/>
      <c r="K48" s="8"/>
      <c r="M48" s="67">
        <v>46101.0</v>
      </c>
      <c r="N48" s="9" t="s">
        <v>302</v>
      </c>
      <c r="O48" s="8" t="s">
        <v>27</v>
      </c>
      <c r="P48" s="8" t="s">
        <v>108</v>
      </c>
      <c r="Q48" s="8" t="s">
        <v>139</v>
      </c>
      <c r="R48" s="6">
        <v>40000.0</v>
      </c>
      <c r="S48" s="8"/>
      <c r="V48" s="13" t="s">
        <v>156</v>
      </c>
      <c r="W48" s="39">
        <f>S17</f>
        <v>340888.7625</v>
      </c>
      <c r="X48" s="39">
        <f>S17</f>
        <v>340888.7625</v>
      </c>
      <c r="Y48" s="39">
        <f>S17</f>
        <v>340888.7625</v>
      </c>
      <c r="Z48" s="39">
        <f>S17</f>
        <v>340888.7625</v>
      </c>
    </row>
    <row r="49" ht="14.25" customHeight="1">
      <c r="A49" s="67"/>
      <c r="B49" s="8"/>
      <c r="C49" s="9"/>
      <c r="D49" s="6"/>
      <c r="E49" s="6"/>
      <c r="F49" s="6"/>
      <c r="G49" s="6"/>
      <c r="H49" s="8"/>
      <c r="I49" s="8"/>
      <c r="J49" s="8"/>
      <c r="K49" s="8"/>
      <c r="M49" s="67">
        <v>46106.0</v>
      </c>
      <c r="N49" s="8" t="s">
        <v>303</v>
      </c>
      <c r="O49" s="8" t="s">
        <v>15</v>
      </c>
      <c r="P49" s="8" t="s">
        <v>20</v>
      </c>
      <c r="Q49" s="8" t="s">
        <v>139</v>
      </c>
      <c r="R49" s="6"/>
      <c r="S49" s="8">
        <v>10000.0</v>
      </c>
      <c r="V49" s="13" t="s">
        <v>158</v>
      </c>
      <c r="W49" s="39">
        <f>S19</f>
        <v>126697.2718</v>
      </c>
      <c r="X49" s="39">
        <f>S20</f>
        <v>206857.0197</v>
      </c>
      <c r="Y49" s="39">
        <f>S21</f>
        <v>211567.2529</v>
      </c>
      <c r="Z49" s="39">
        <f>S22</f>
        <v>189100.4056</v>
      </c>
    </row>
    <row r="50" ht="15.75" customHeight="1">
      <c r="A50" s="67"/>
      <c r="B50" s="8"/>
      <c r="C50" s="9"/>
      <c r="D50" s="6"/>
      <c r="E50" s="6"/>
      <c r="F50" s="6"/>
      <c r="G50" s="6"/>
      <c r="H50" s="8"/>
      <c r="I50" s="8"/>
      <c r="J50" s="8"/>
      <c r="K50" s="8"/>
      <c r="M50" s="67">
        <v>46106.0</v>
      </c>
      <c r="N50" s="9" t="s">
        <v>228</v>
      </c>
      <c r="O50" s="8" t="s">
        <v>27</v>
      </c>
      <c r="P50" s="8" t="s">
        <v>108</v>
      </c>
      <c r="Q50" s="8" t="s">
        <v>139</v>
      </c>
      <c r="R50" s="6">
        <v>9000.0</v>
      </c>
      <c r="S50" s="8"/>
      <c r="V50" s="29" t="s">
        <v>160</v>
      </c>
      <c r="W50" s="73">
        <f>T19</f>
        <v>467586.0343</v>
      </c>
      <c r="X50" s="73">
        <f>T20</f>
        <v>547745.7822</v>
      </c>
      <c r="Y50" s="73">
        <f>T21</f>
        <v>552456.0154</v>
      </c>
      <c r="Z50" s="73">
        <f>T22</f>
        <v>529989.1681</v>
      </c>
    </row>
    <row r="51" ht="27.0" customHeight="1">
      <c r="A51" s="67"/>
      <c r="B51" s="8"/>
      <c r="C51" s="9"/>
      <c r="D51" s="6"/>
      <c r="E51" s="6"/>
      <c r="F51" s="6"/>
      <c r="G51" s="6"/>
      <c r="H51" s="8"/>
      <c r="I51" s="8"/>
      <c r="J51" s="8"/>
      <c r="K51" s="8"/>
      <c r="M51" s="67">
        <v>46114.0</v>
      </c>
      <c r="N51" s="8" t="s">
        <v>304</v>
      </c>
      <c r="O51" s="8" t="s">
        <v>15</v>
      </c>
      <c r="P51" s="8" t="s">
        <v>10</v>
      </c>
      <c r="Q51" s="8" t="s">
        <v>139</v>
      </c>
      <c r="R51" s="6"/>
      <c r="S51" s="8">
        <v>316000.0</v>
      </c>
    </row>
    <row r="52" ht="26.25" customHeight="1">
      <c r="A52" s="67"/>
      <c r="B52" s="8"/>
      <c r="C52" s="9"/>
      <c r="D52" s="6"/>
      <c r="E52" s="6"/>
      <c r="F52" s="6"/>
      <c r="G52" s="6"/>
      <c r="H52" s="8"/>
      <c r="I52" s="8"/>
      <c r="J52" s="8"/>
      <c r="K52" s="8"/>
      <c r="M52" s="67">
        <v>46118.0</v>
      </c>
      <c r="N52" s="8" t="s">
        <v>305</v>
      </c>
      <c r="O52" s="8" t="s">
        <v>15</v>
      </c>
      <c r="P52" s="8" t="s">
        <v>20</v>
      </c>
      <c r="Q52" s="8" t="s">
        <v>147</v>
      </c>
      <c r="R52" s="6"/>
      <c r="S52" s="8">
        <v>30000.0</v>
      </c>
      <c r="V52" s="74" t="s">
        <v>15</v>
      </c>
      <c r="W52" s="63"/>
      <c r="X52" s="63"/>
      <c r="Y52" s="63"/>
      <c r="Z52" s="64"/>
    </row>
    <row r="53" ht="15.75" customHeight="1">
      <c r="A53" s="67"/>
      <c r="B53" s="8"/>
      <c r="C53" s="9"/>
      <c r="D53" s="6"/>
      <c r="E53" s="6"/>
      <c r="F53" s="6"/>
      <c r="G53" s="6"/>
      <c r="H53" s="8"/>
      <c r="I53" s="8"/>
      <c r="J53" s="8"/>
      <c r="K53" s="8"/>
      <c r="M53" s="67">
        <v>46113.0</v>
      </c>
      <c r="N53" s="9" t="s">
        <v>228</v>
      </c>
      <c r="O53" s="8" t="s">
        <v>15</v>
      </c>
      <c r="P53" s="8" t="s">
        <v>9</v>
      </c>
      <c r="Q53" s="8" t="s">
        <v>139</v>
      </c>
      <c r="R53" s="6"/>
      <c r="S53" s="8">
        <v>18000.0</v>
      </c>
      <c r="V53" s="75"/>
      <c r="W53" s="76" t="s">
        <v>7</v>
      </c>
      <c r="X53" s="76" t="s">
        <v>8</v>
      </c>
      <c r="Y53" s="76" t="s">
        <v>9</v>
      </c>
      <c r="Z53" s="76" t="s">
        <v>10</v>
      </c>
    </row>
    <row r="54" ht="15.75" customHeight="1">
      <c r="A54" s="67"/>
      <c r="B54" s="8"/>
      <c r="C54" s="9"/>
      <c r="D54" s="6"/>
      <c r="E54" s="6"/>
      <c r="F54" s="6"/>
      <c r="G54" s="6"/>
      <c r="H54" s="8"/>
      <c r="I54" s="6"/>
      <c r="J54" s="8"/>
      <c r="K54" s="8"/>
      <c r="M54" s="67">
        <v>46108.0</v>
      </c>
      <c r="N54" s="8" t="s">
        <v>306</v>
      </c>
      <c r="O54" s="8" t="s">
        <v>27</v>
      </c>
      <c r="P54" s="8" t="s">
        <v>108</v>
      </c>
      <c r="Q54" s="8" t="s">
        <v>139</v>
      </c>
      <c r="R54" s="6">
        <v>100000.0</v>
      </c>
      <c r="S54" s="8"/>
      <c r="V54" s="13" t="s">
        <v>163</v>
      </c>
      <c r="W54" s="13">
        <f t="shared" ref="W54:Z54" si="21">W55+W56</f>
        <v>530000</v>
      </c>
      <c r="X54" s="13">
        <f t="shared" si="21"/>
        <v>1472344</v>
      </c>
      <c r="Y54" s="13">
        <f t="shared" si="21"/>
        <v>2420617</v>
      </c>
      <c r="Z54" s="13">
        <f t="shared" si="21"/>
        <v>1720000</v>
      </c>
    </row>
    <row r="55" ht="15.75" customHeight="1">
      <c r="A55" s="67"/>
      <c r="B55" s="8"/>
      <c r="C55" s="9"/>
      <c r="D55" s="6"/>
      <c r="E55" s="6"/>
      <c r="F55" s="6"/>
      <c r="G55" s="6"/>
      <c r="H55" s="8"/>
      <c r="I55" s="8"/>
      <c r="J55" s="8"/>
      <c r="K55" s="8"/>
      <c r="M55" s="67">
        <v>46108.0</v>
      </c>
      <c r="N55" s="8" t="s">
        <v>307</v>
      </c>
      <c r="O55" s="8" t="s">
        <v>27</v>
      </c>
      <c r="P55" s="8" t="s">
        <v>108</v>
      </c>
      <c r="Q55" s="8" t="s">
        <v>139</v>
      </c>
      <c r="R55" s="8">
        <v>36000.0</v>
      </c>
      <c r="S55" s="6"/>
      <c r="V55" s="13" t="s">
        <v>164</v>
      </c>
      <c r="W55" s="13">
        <f>T26</f>
        <v>922300</v>
      </c>
      <c r="X55" s="13">
        <f>T28</f>
        <v>360000</v>
      </c>
      <c r="Y55" s="13">
        <f>T30</f>
        <v>1751610</v>
      </c>
      <c r="Z55" s="13">
        <f>T32</f>
        <v>1489274</v>
      </c>
    </row>
    <row r="56" ht="15.75" customHeight="1">
      <c r="A56" s="67"/>
      <c r="B56" s="8"/>
      <c r="C56" s="9"/>
      <c r="D56" s="6"/>
      <c r="E56" s="6"/>
      <c r="F56" s="6"/>
      <c r="G56" s="6"/>
      <c r="H56" s="8"/>
      <c r="I56" s="8"/>
      <c r="J56" s="8"/>
      <c r="K56" s="8"/>
      <c r="M56" s="67">
        <v>46118.0</v>
      </c>
      <c r="N56" s="8" t="s">
        <v>308</v>
      </c>
      <c r="O56" s="8" t="s">
        <v>15</v>
      </c>
      <c r="P56" s="8" t="s">
        <v>8</v>
      </c>
      <c r="Q56" s="8" t="s">
        <v>96</v>
      </c>
      <c r="R56" s="8"/>
      <c r="S56" s="6">
        <v>360000.0</v>
      </c>
      <c r="V56" s="75" t="s">
        <v>166</v>
      </c>
      <c r="W56" s="75">
        <f>T11</f>
        <v>-392300</v>
      </c>
      <c r="X56" s="75">
        <f>T12</f>
        <v>1112344</v>
      </c>
      <c r="Y56" s="75">
        <f>T13</f>
        <v>669007</v>
      </c>
      <c r="Z56" s="75">
        <f>T14</f>
        <v>230726</v>
      </c>
    </row>
    <row r="57" ht="15.75" customHeight="1">
      <c r="A57" s="67"/>
      <c r="B57" s="8"/>
      <c r="C57" s="9"/>
      <c r="D57" s="6"/>
      <c r="E57" s="6"/>
      <c r="F57" s="6"/>
      <c r="G57" s="6"/>
      <c r="H57" s="8"/>
      <c r="I57" s="8"/>
      <c r="J57" s="8"/>
      <c r="K57" s="8"/>
      <c r="M57" s="67">
        <v>46101.0</v>
      </c>
      <c r="N57" s="8" t="s">
        <v>309</v>
      </c>
      <c r="O57" s="8" t="s">
        <v>27</v>
      </c>
      <c r="P57" s="8" t="s">
        <v>108</v>
      </c>
      <c r="Q57" s="8" t="s">
        <v>139</v>
      </c>
      <c r="R57" s="8">
        <v>130000.0</v>
      </c>
      <c r="S57" s="6"/>
      <c r="V57" s="75" t="s">
        <v>168</v>
      </c>
      <c r="W57" s="77">
        <f t="shared" ref="W57:Z57" si="22">W50-W56</f>
        <v>859886.0343</v>
      </c>
      <c r="X57" s="77">
        <f t="shared" si="22"/>
        <v>-564598.2178</v>
      </c>
      <c r="Y57" s="77">
        <f t="shared" si="22"/>
        <v>-116550.9846</v>
      </c>
      <c r="Z57" s="77">
        <f t="shared" si="22"/>
        <v>299263.1681</v>
      </c>
    </row>
    <row r="58" ht="15.75" customHeight="1">
      <c r="A58" s="67"/>
      <c r="B58" s="8"/>
      <c r="C58" s="8"/>
      <c r="D58" s="6"/>
      <c r="E58" s="6"/>
      <c r="F58" s="6"/>
      <c r="G58" s="6"/>
      <c r="H58" s="8"/>
      <c r="I58" s="8"/>
      <c r="J58" s="8"/>
      <c r="K58" s="8"/>
      <c r="M58" s="67">
        <v>46101.0</v>
      </c>
      <c r="N58" s="8" t="s">
        <v>310</v>
      </c>
      <c r="O58" s="8" t="s">
        <v>27</v>
      </c>
      <c r="P58" s="8" t="s">
        <v>108</v>
      </c>
      <c r="Q58" s="8" t="s">
        <v>139</v>
      </c>
      <c r="R58" s="8">
        <v>80000.0</v>
      </c>
      <c r="S58" s="6"/>
    </row>
    <row r="59" ht="15.75" customHeight="1">
      <c r="A59" s="67"/>
      <c r="B59" s="8"/>
      <c r="C59" s="8"/>
      <c r="D59" s="6"/>
      <c r="E59" s="6"/>
      <c r="F59" s="6"/>
      <c r="G59" s="6"/>
      <c r="H59" s="8"/>
      <c r="I59" s="8"/>
      <c r="J59" s="8"/>
      <c r="K59" s="8"/>
      <c r="M59" s="67">
        <v>46118.0</v>
      </c>
      <c r="N59" s="8" t="s">
        <v>228</v>
      </c>
      <c r="O59" s="8" t="s">
        <v>27</v>
      </c>
      <c r="P59" s="8" t="s">
        <v>108</v>
      </c>
      <c r="Q59" s="8" t="s">
        <v>139</v>
      </c>
      <c r="R59" s="8">
        <v>20000.0</v>
      </c>
      <c r="S59" s="6"/>
    </row>
    <row r="60" ht="15.75" customHeight="1">
      <c r="A60" s="67"/>
      <c r="B60" s="8"/>
      <c r="C60" s="8"/>
      <c r="D60" s="6"/>
      <c r="E60" s="6"/>
      <c r="F60" s="6"/>
      <c r="G60" s="6"/>
      <c r="H60" s="8"/>
      <c r="I60" s="8"/>
      <c r="J60" s="8"/>
      <c r="K60" s="8"/>
      <c r="M60" s="7">
        <v>46121.0</v>
      </c>
      <c r="N60" s="78" t="s">
        <v>311</v>
      </c>
      <c r="O60" s="78" t="s">
        <v>15</v>
      </c>
      <c r="P60" s="78" t="s">
        <v>9</v>
      </c>
      <c r="Q60" s="78" t="s">
        <v>147</v>
      </c>
      <c r="R60" s="78"/>
      <c r="S60" s="6">
        <v>260157.0</v>
      </c>
    </row>
    <row r="61" ht="15.75" customHeight="1">
      <c r="A61" s="67"/>
      <c r="B61" s="8"/>
      <c r="C61" s="8"/>
      <c r="D61" s="6"/>
      <c r="E61" s="6"/>
      <c r="F61" s="6"/>
      <c r="G61" s="6"/>
      <c r="H61" s="8"/>
      <c r="I61" s="8"/>
      <c r="J61" s="8"/>
      <c r="K61" s="8"/>
      <c r="M61" s="7">
        <v>46121.0</v>
      </c>
      <c r="N61" s="9" t="s">
        <v>138</v>
      </c>
      <c r="O61" s="9" t="s">
        <v>15</v>
      </c>
      <c r="P61" s="9" t="s">
        <v>9</v>
      </c>
      <c r="Q61" s="9" t="s">
        <v>139</v>
      </c>
      <c r="R61" s="9"/>
      <c r="S61" s="6">
        <v>10000.0</v>
      </c>
    </row>
    <row r="62" ht="15.75" customHeight="1">
      <c r="A62" s="67"/>
      <c r="B62" s="8"/>
      <c r="C62" s="8"/>
      <c r="D62" s="6"/>
      <c r="E62" s="6"/>
      <c r="F62" s="6"/>
      <c r="G62" s="6"/>
      <c r="H62" s="8"/>
      <c r="I62" s="8"/>
      <c r="J62" s="8"/>
      <c r="K62" s="8"/>
      <c r="M62" s="7">
        <v>46121.0</v>
      </c>
      <c r="N62" s="6" t="s">
        <v>312</v>
      </c>
      <c r="O62" s="6" t="s">
        <v>15</v>
      </c>
      <c r="P62" s="6" t="s">
        <v>20</v>
      </c>
      <c r="Q62" s="6" t="s">
        <v>139</v>
      </c>
      <c r="R62" s="6"/>
      <c r="S62" s="6">
        <v>55000.0</v>
      </c>
    </row>
    <row r="63" ht="15.75" customHeight="1">
      <c r="A63" s="67"/>
      <c r="B63" s="8"/>
      <c r="C63" s="8"/>
      <c r="D63" s="6"/>
      <c r="E63" s="6"/>
      <c r="F63" s="6"/>
      <c r="G63" s="6"/>
      <c r="H63" s="8"/>
      <c r="I63" s="8"/>
      <c r="J63" s="8"/>
      <c r="K63" s="8"/>
      <c r="M63" s="7">
        <v>46123.0</v>
      </c>
      <c r="N63" s="6" t="s">
        <v>313</v>
      </c>
      <c r="O63" s="6" t="s">
        <v>27</v>
      </c>
      <c r="P63" s="6" t="s">
        <v>108</v>
      </c>
      <c r="Q63" s="6" t="s">
        <v>139</v>
      </c>
      <c r="R63" s="6">
        <v>12000.0</v>
      </c>
      <c r="S63" s="6"/>
    </row>
    <row r="64" ht="15.75" customHeight="1">
      <c r="A64" s="67"/>
      <c r="B64" s="8"/>
      <c r="C64" s="8"/>
      <c r="D64" s="6"/>
      <c r="E64" s="6"/>
      <c r="F64" s="6"/>
      <c r="G64" s="6"/>
      <c r="H64" s="8"/>
      <c r="I64" s="8"/>
      <c r="J64" s="8"/>
      <c r="K64" s="8"/>
      <c r="M64" s="7">
        <v>46123.0</v>
      </c>
      <c r="N64" s="6" t="s">
        <v>314</v>
      </c>
      <c r="O64" s="6" t="s">
        <v>15</v>
      </c>
      <c r="P64" s="6" t="s">
        <v>20</v>
      </c>
      <c r="Q64" s="6" t="s">
        <v>139</v>
      </c>
      <c r="R64" s="6"/>
      <c r="S64" s="6">
        <v>200000.0</v>
      </c>
    </row>
    <row r="65" ht="15.75" customHeight="1">
      <c r="A65" s="67"/>
      <c r="B65" s="8"/>
      <c r="C65" s="8"/>
      <c r="D65" s="6"/>
      <c r="E65" s="6"/>
      <c r="F65" s="6"/>
      <c r="G65" s="6"/>
      <c r="H65" s="8"/>
      <c r="I65" s="8"/>
      <c r="J65" s="8"/>
      <c r="K65" s="8"/>
      <c r="M65" s="7">
        <v>46123.0</v>
      </c>
      <c r="N65" s="6" t="s">
        <v>315</v>
      </c>
      <c r="O65" s="6" t="s">
        <v>27</v>
      </c>
      <c r="P65" s="6" t="s">
        <v>108</v>
      </c>
      <c r="Q65" s="6" t="s">
        <v>139</v>
      </c>
      <c r="R65" s="6">
        <v>43000.0</v>
      </c>
      <c r="S65" s="6"/>
    </row>
    <row r="66" ht="15.75" customHeight="1">
      <c r="A66" s="67"/>
      <c r="B66" s="8"/>
      <c r="C66" s="8"/>
      <c r="D66" s="6"/>
      <c r="E66" s="6"/>
      <c r="F66" s="6"/>
      <c r="G66" s="6"/>
      <c r="H66" s="8"/>
      <c r="I66" s="8"/>
      <c r="J66" s="8"/>
      <c r="K66" s="8"/>
      <c r="M66" s="7">
        <v>46123.0</v>
      </c>
      <c r="N66" s="6" t="s">
        <v>316</v>
      </c>
      <c r="O66" s="6" t="s">
        <v>27</v>
      </c>
      <c r="P66" s="6" t="s">
        <v>108</v>
      </c>
      <c r="Q66" s="6" t="s">
        <v>139</v>
      </c>
      <c r="R66" s="6">
        <v>10000.0</v>
      </c>
      <c r="S66" s="6"/>
    </row>
    <row r="67" ht="15.75" customHeight="1">
      <c r="A67" s="67"/>
      <c r="B67" s="8"/>
      <c r="C67" s="8"/>
      <c r="D67" s="6"/>
      <c r="E67" s="6"/>
      <c r="F67" s="6"/>
      <c r="G67" s="6"/>
      <c r="H67" s="8"/>
      <c r="I67" s="8"/>
      <c r="J67" s="8"/>
      <c r="K67" s="8"/>
      <c r="M67" s="7">
        <v>46125.0</v>
      </c>
      <c r="N67" s="6" t="s">
        <v>317</v>
      </c>
      <c r="O67" s="6" t="s">
        <v>27</v>
      </c>
      <c r="P67" s="6" t="s">
        <v>108</v>
      </c>
      <c r="Q67" s="6" t="s">
        <v>139</v>
      </c>
      <c r="R67" s="6">
        <v>18000.0</v>
      </c>
      <c r="S67" s="6"/>
    </row>
    <row r="68" ht="15.75" customHeight="1">
      <c r="A68" s="67"/>
      <c r="B68" s="8"/>
      <c r="C68" s="8"/>
      <c r="D68" s="6"/>
      <c r="E68" s="6"/>
      <c r="F68" s="6"/>
      <c r="G68" s="6"/>
      <c r="H68" s="8"/>
      <c r="I68" s="8"/>
      <c r="J68" s="8"/>
      <c r="K68" s="8"/>
      <c r="M68" s="7">
        <v>46125.0</v>
      </c>
      <c r="N68" s="6" t="s">
        <v>318</v>
      </c>
      <c r="O68" s="6" t="s">
        <v>15</v>
      </c>
      <c r="P68" s="6" t="s">
        <v>20</v>
      </c>
      <c r="Q68" s="6" t="s">
        <v>139</v>
      </c>
      <c r="R68" s="6"/>
      <c r="S68" s="6">
        <v>10000.0</v>
      </c>
    </row>
    <row r="69" ht="15.75" customHeight="1">
      <c r="A69" s="67"/>
      <c r="B69" s="8"/>
      <c r="C69" s="8"/>
      <c r="D69" s="6"/>
      <c r="E69" s="6"/>
      <c r="F69" s="6"/>
      <c r="G69" s="6"/>
      <c r="H69" s="8"/>
      <c r="I69" s="8"/>
      <c r="J69" s="8"/>
      <c r="K69" s="8"/>
      <c r="M69" s="7">
        <v>46123.0</v>
      </c>
      <c r="N69" s="6" t="s">
        <v>319</v>
      </c>
      <c r="O69" s="6" t="s">
        <v>15</v>
      </c>
      <c r="P69" s="6" t="s">
        <v>9</v>
      </c>
      <c r="Q69" s="6" t="s">
        <v>139</v>
      </c>
      <c r="R69" s="6"/>
      <c r="S69" s="92">
        <v>100000.0</v>
      </c>
    </row>
    <row r="70" ht="15.75" customHeight="1">
      <c r="A70" s="67"/>
      <c r="B70" s="8"/>
      <c r="C70" s="8"/>
      <c r="D70" s="6"/>
      <c r="E70" s="6"/>
      <c r="F70" s="6"/>
      <c r="G70" s="6"/>
      <c r="H70" s="8"/>
      <c r="I70" s="8"/>
      <c r="J70" s="8"/>
      <c r="K70" s="8"/>
      <c r="M70" s="67">
        <v>46122.0</v>
      </c>
      <c r="N70" s="6" t="s">
        <v>320</v>
      </c>
      <c r="O70" s="6" t="s">
        <v>15</v>
      </c>
      <c r="P70" s="6" t="s">
        <v>9</v>
      </c>
      <c r="Q70" s="6" t="s">
        <v>139</v>
      </c>
      <c r="R70" s="6"/>
      <c r="S70" s="6">
        <v>58000.0</v>
      </c>
    </row>
    <row r="71" ht="15.75" customHeight="1">
      <c r="A71" s="67"/>
      <c r="B71" s="8"/>
      <c r="C71" s="8"/>
      <c r="D71" s="6"/>
      <c r="E71" s="6"/>
      <c r="F71" s="6"/>
      <c r="G71" s="6"/>
      <c r="H71" s="8"/>
      <c r="I71" s="8"/>
      <c r="J71" s="8"/>
      <c r="K71" s="8"/>
      <c r="M71" s="67">
        <v>46127.0</v>
      </c>
      <c r="N71" s="6" t="s">
        <v>321</v>
      </c>
      <c r="O71" s="6" t="s">
        <v>27</v>
      </c>
      <c r="P71" s="6" t="s">
        <v>108</v>
      </c>
      <c r="Q71" s="6" t="s">
        <v>139</v>
      </c>
      <c r="R71" s="6">
        <v>175000.0</v>
      </c>
      <c r="S71" s="6"/>
      <c r="T71" s="23"/>
    </row>
    <row r="72" ht="15.75" customHeight="1">
      <c r="A72" s="67"/>
      <c r="B72" s="8"/>
      <c r="C72" s="8"/>
      <c r="D72" s="6"/>
      <c r="E72" s="6"/>
      <c r="F72" s="6"/>
      <c r="G72" s="6"/>
      <c r="H72" s="8"/>
      <c r="I72" s="8"/>
      <c r="J72" s="8"/>
      <c r="K72" s="8"/>
      <c r="M72" s="67">
        <v>46127.0</v>
      </c>
      <c r="N72" s="6" t="s">
        <v>322</v>
      </c>
      <c r="O72" s="6" t="s">
        <v>27</v>
      </c>
      <c r="P72" s="6" t="s">
        <v>108</v>
      </c>
      <c r="Q72" s="6" t="s">
        <v>139</v>
      </c>
      <c r="R72" s="6">
        <v>98000.0</v>
      </c>
      <c r="S72" s="6"/>
    </row>
    <row r="73" ht="15.75" customHeight="1">
      <c r="A73" s="67"/>
      <c r="B73" s="8"/>
      <c r="C73" s="8"/>
      <c r="D73" s="6"/>
      <c r="E73" s="6"/>
      <c r="F73" s="6"/>
      <c r="G73" s="6"/>
      <c r="H73" s="8"/>
      <c r="I73" s="8"/>
      <c r="J73" s="8"/>
      <c r="K73" s="8"/>
      <c r="M73" s="67">
        <v>46127.0</v>
      </c>
      <c r="N73" s="6" t="s">
        <v>323</v>
      </c>
      <c r="O73" s="6" t="s">
        <v>27</v>
      </c>
      <c r="P73" s="6" t="s">
        <v>108</v>
      </c>
      <c r="Q73" s="6" t="s">
        <v>139</v>
      </c>
      <c r="R73" s="6">
        <v>280000.0</v>
      </c>
      <c r="S73" s="6"/>
    </row>
    <row r="74" ht="15.75" customHeight="1">
      <c r="A74" s="67"/>
      <c r="B74" s="8"/>
      <c r="C74" s="8"/>
      <c r="D74" s="6"/>
      <c r="E74" s="6"/>
      <c r="F74" s="6"/>
      <c r="G74" s="6"/>
      <c r="H74" s="8"/>
      <c r="I74" s="8"/>
      <c r="J74" s="8"/>
      <c r="K74" s="8"/>
      <c r="M74" s="67"/>
      <c r="N74" s="6"/>
      <c r="O74" s="6"/>
      <c r="P74" s="6"/>
      <c r="Q74" s="6"/>
      <c r="R74" s="6"/>
      <c r="S74" s="6"/>
    </row>
    <row r="75" ht="15.75" customHeight="1">
      <c r="A75" s="67"/>
      <c r="B75" s="8"/>
      <c r="C75" s="8"/>
      <c r="D75" s="6"/>
      <c r="E75" s="6"/>
      <c r="F75" s="6"/>
      <c r="G75" s="6"/>
      <c r="H75" s="8"/>
      <c r="I75" s="8"/>
      <c r="J75" s="8"/>
      <c r="K75" s="8"/>
      <c r="M75" s="67"/>
      <c r="N75" s="6"/>
      <c r="O75" s="6"/>
      <c r="P75" s="6"/>
      <c r="Q75" s="6"/>
      <c r="R75" s="6"/>
      <c r="S75" s="6"/>
    </row>
    <row r="76" ht="15.75" customHeight="1">
      <c r="A76" s="67"/>
      <c r="B76" s="8"/>
      <c r="C76" s="8"/>
      <c r="D76" s="6"/>
      <c r="E76" s="6"/>
      <c r="F76" s="6"/>
      <c r="G76" s="6"/>
      <c r="H76" s="8"/>
      <c r="I76" s="8"/>
      <c r="J76" s="8"/>
      <c r="K76" s="8"/>
      <c r="M76" s="67"/>
      <c r="N76" s="6"/>
      <c r="O76" s="6"/>
      <c r="P76" s="6"/>
      <c r="Q76" s="6"/>
      <c r="R76" s="6"/>
      <c r="S76" s="6"/>
    </row>
    <row r="77" ht="15.75" customHeight="1">
      <c r="A77" s="67"/>
      <c r="B77" s="8"/>
      <c r="C77" s="8"/>
      <c r="D77" s="6"/>
      <c r="E77" s="6"/>
      <c r="F77" s="6"/>
      <c r="G77" s="6"/>
      <c r="H77" s="8"/>
      <c r="I77" s="8"/>
      <c r="J77" s="8"/>
      <c r="K77" s="8"/>
      <c r="M77" s="67"/>
      <c r="N77" s="6"/>
      <c r="O77" s="6"/>
      <c r="P77" s="6"/>
      <c r="Q77" s="6"/>
      <c r="R77" s="6"/>
      <c r="S77" s="6"/>
    </row>
    <row r="78" ht="15.75" customHeight="1">
      <c r="A78" s="67"/>
      <c r="B78" s="8"/>
      <c r="C78" s="8"/>
      <c r="D78" s="6"/>
      <c r="E78" s="6"/>
      <c r="F78" s="6"/>
      <c r="G78" s="6"/>
      <c r="H78" s="8"/>
      <c r="I78" s="8"/>
      <c r="J78" s="8"/>
      <c r="K78" s="8"/>
      <c r="M78" s="67"/>
      <c r="N78" s="6"/>
      <c r="O78" s="6"/>
      <c r="P78" s="6"/>
      <c r="Q78" s="6"/>
      <c r="R78" s="6"/>
      <c r="S78" s="6"/>
    </row>
    <row r="79" ht="15.75" customHeight="1">
      <c r="A79" s="67"/>
      <c r="B79" s="8"/>
      <c r="C79" s="8"/>
      <c r="D79" s="6"/>
      <c r="E79" s="6"/>
      <c r="F79" s="6"/>
      <c r="G79" s="6"/>
      <c r="H79" s="8"/>
      <c r="I79" s="8"/>
      <c r="J79" s="8"/>
      <c r="K79" s="8"/>
      <c r="M79" s="67"/>
      <c r="N79" s="6"/>
      <c r="O79" s="6"/>
      <c r="P79" s="6"/>
      <c r="Q79" s="6"/>
      <c r="R79" s="6"/>
      <c r="S79" s="6"/>
    </row>
    <row r="80" ht="15.75" customHeight="1">
      <c r="A80" s="67"/>
      <c r="B80" s="8"/>
      <c r="C80" s="8"/>
      <c r="D80" s="6"/>
      <c r="E80" s="6"/>
      <c r="F80" s="6"/>
      <c r="G80" s="6"/>
      <c r="H80" s="8"/>
      <c r="I80" s="8"/>
      <c r="J80" s="8"/>
      <c r="K80" s="8"/>
      <c r="M80" s="67"/>
      <c r="N80" s="6"/>
      <c r="O80" s="6"/>
      <c r="P80" s="6"/>
      <c r="Q80" s="6"/>
      <c r="R80" s="6"/>
      <c r="S80" s="6"/>
    </row>
    <row r="81" ht="15.75" customHeight="1">
      <c r="A81" s="67"/>
      <c r="B81" s="8"/>
      <c r="C81" s="8"/>
      <c r="D81" s="6"/>
      <c r="E81" s="6"/>
      <c r="F81" s="6"/>
      <c r="G81" s="6"/>
      <c r="H81" s="8"/>
      <c r="I81" s="8"/>
      <c r="J81" s="8"/>
      <c r="K81" s="8"/>
      <c r="M81" s="67"/>
      <c r="N81" s="6"/>
      <c r="O81" s="6"/>
      <c r="P81" s="6"/>
      <c r="Q81" s="6"/>
      <c r="R81" s="6"/>
      <c r="S81" s="6"/>
    </row>
    <row r="82" ht="15.75" customHeight="1">
      <c r="A82" s="67"/>
      <c r="B82" s="8"/>
      <c r="C82" s="8"/>
      <c r="D82" s="6"/>
      <c r="E82" s="6"/>
      <c r="F82" s="6"/>
      <c r="G82" s="6"/>
      <c r="H82" s="8"/>
      <c r="I82" s="8"/>
      <c r="J82" s="8"/>
      <c r="K82" s="8"/>
      <c r="M82" s="67"/>
      <c r="N82" s="6"/>
      <c r="O82" s="6"/>
      <c r="P82" s="6"/>
      <c r="Q82" s="6"/>
      <c r="R82" s="6"/>
      <c r="S82" s="6"/>
    </row>
    <row r="83" ht="15.75" customHeight="1">
      <c r="A83" s="67"/>
      <c r="B83" s="8"/>
      <c r="C83" s="8"/>
      <c r="D83" s="6"/>
      <c r="E83" s="6"/>
      <c r="F83" s="6"/>
      <c r="G83" s="6"/>
      <c r="H83" s="8"/>
      <c r="I83" s="8"/>
      <c r="J83" s="8"/>
      <c r="K83" s="8"/>
      <c r="M83" s="67"/>
      <c r="N83" s="6"/>
      <c r="O83" s="6"/>
      <c r="P83" s="6"/>
      <c r="Q83" s="6"/>
      <c r="R83" s="6"/>
      <c r="S83" s="6"/>
    </row>
    <row r="84" ht="15.75" customHeight="1">
      <c r="A84" s="67"/>
      <c r="B84" s="8"/>
      <c r="C84" s="8"/>
      <c r="D84" s="6"/>
      <c r="E84" s="6"/>
      <c r="F84" s="6"/>
      <c r="G84" s="6"/>
      <c r="H84" s="8"/>
      <c r="I84" s="8"/>
      <c r="J84" s="8"/>
      <c r="K84" s="8"/>
      <c r="M84" s="67"/>
      <c r="N84" s="6"/>
      <c r="O84" s="6"/>
      <c r="P84" s="6"/>
      <c r="Q84" s="6"/>
      <c r="R84" s="6"/>
      <c r="S84" s="6"/>
    </row>
    <row r="85" ht="15.75" customHeight="1">
      <c r="A85" s="67"/>
      <c r="B85" s="8"/>
      <c r="C85" s="8"/>
      <c r="D85" s="6"/>
      <c r="E85" s="6"/>
      <c r="F85" s="6"/>
      <c r="G85" s="6"/>
      <c r="H85" s="8"/>
      <c r="I85" s="8"/>
      <c r="J85" s="8"/>
      <c r="K85" s="8"/>
      <c r="M85" s="67"/>
      <c r="N85" s="6"/>
      <c r="O85" s="6"/>
      <c r="P85" s="6"/>
      <c r="Q85" s="6"/>
      <c r="R85" s="6"/>
      <c r="S85" s="6"/>
    </row>
    <row r="86" ht="15.75" customHeight="1">
      <c r="A86" s="67"/>
      <c r="B86" s="8"/>
      <c r="C86" s="8"/>
      <c r="D86" s="6"/>
      <c r="E86" s="6"/>
      <c r="F86" s="6"/>
      <c r="G86" s="6"/>
      <c r="H86" s="8"/>
      <c r="I86" s="8"/>
      <c r="J86" s="8"/>
      <c r="K86" s="8"/>
      <c r="M86" s="67"/>
      <c r="N86" s="6"/>
      <c r="O86" s="6"/>
      <c r="P86" s="6"/>
      <c r="Q86" s="6"/>
      <c r="R86" s="6"/>
      <c r="S86" s="6"/>
    </row>
    <row r="87" ht="15.75" customHeight="1">
      <c r="A87" s="67"/>
      <c r="B87" s="8"/>
      <c r="C87" s="8"/>
      <c r="D87" s="6"/>
      <c r="E87" s="6"/>
      <c r="F87" s="6"/>
      <c r="G87" s="6"/>
      <c r="H87" s="8"/>
      <c r="I87" s="8"/>
      <c r="J87" s="8"/>
      <c r="K87" s="8"/>
      <c r="M87" s="67"/>
      <c r="N87" s="6"/>
      <c r="O87" s="6"/>
      <c r="P87" s="6"/>
      <c r="Q87" s="6"/>
      <c r="R87" s="6"/>
      <c r="S87" s="6"/>
    </row>
    <row r="88" ht="15.75" customHeight="1">
      <c r="A88" s="67"/>
      <c r="B88" s="8"/>
      <c r="C88" s="8"/>
      <c r="D88" s="6"/>
      <c r="E88" s="6"/>
      <c r="F88" s="6"/>
      <c r="G88" s="6"/>
      <c r="H88" s="8"/>
      <c r="I88" s="8"/>
      <c r="J88" s="8"/>
      <c r="K88" s="8"/>
      <c r="M88" s="67"/>
      <c r="N88" s="6"/>
      <c r="O88" s="6"/>
      <c r="P88" s="6"/>
      <c r="Q88" s="6"/>
      <c r="R88" s="6"/>
      <c r="S88" s="6"/>
    </row>
    <row r="89" ht="15.75" customHeight="1">
      <c r="A89" s="67"/>
      <c r="B89" s="8"/>
      <c r="C89" s="8"/>
      <c r="D89" s="6"/>
      <c r="E89" s="6"/>
      <c r="F89" s="6"/>
      <c r="G89" s="6"/>
      <c r="H89" s="8"/>
      <c r="I89" s="8"/>
      <c r="J89" s="8"/>
      <c r="K89" s="8"/>
      <c r="M89" s="67"/>
      <c r="N89" s="6"/>
      <c r="O89" s="6"/>
      <c r="P89" s="6"/>
      <c r="Q89" s="6"/>
      <c r="R89" s="6"/>
      <c r="S89" s="6"/>
    </row>
    <row r="90" ht="15.75" customHeight="1">
      <c r="A90" s="67"/>
      <c r="B90" s="8"/>
      <c r="C90" s="8"/>
      <c r="D90" s="6"/>
      <c r="E90" s="6"/>
      <c r="F90" s="6"/>
      <c r="G90" s="6"/>
      <c r="H90" s="8"/>
      <c r="I90" s="8"/>
      <c r="J90" s="8"/>
      <c r="K90" s="8"/>
      <c r="M90" s="67"/>
      <c r="N90" s="6"/>
      <c r="O90" s="6"/>
      <c r="P90" s="6"/>
      <c r="Q90" s="6"/>
      <c r="R90" s="6"/>
      <c r="S90" s="6"/>
    </row>
    <row r="91" ht="15.75" customHeight="1">
      <c r="A91" s="67"/>
      <c r="B91" s="6"/>
      <c r="C91" s="6"/>
      <c r="D91" s="6"/>
      <c r="E91" s="6"/>
      <c r="F91" s="6"/>
      <c r="G91" s="6"/>
      <c r="H91" s="6"/>
      <c r="I91" s="6"/>
      <c r="J91" s="6"/>
      <c r="K91" s="6"/>
      <c r="M91" s="67"/>
      <c r="N91" s="6"/>
      <c r="O91" s="6"/>
      <c r="P91" s="6"/>
      <c r="Q91" s="6"/>
      <c r="R91" s="6"/>
      <c r="S91" s="6"/>
    </row>
    <row r="92" ht="15.75" customHeight="1">
      <c r="A92" s="67"/>
      <c r="B92" s="6"/>
      <c r="C92" s="6"/>
      <c r="D92" s="6"/>
      <c r="E92" s="6"/>
      <c r="F92" s="6"/>
      <c r="G92" s="6"/>
      <c r="H92" s="6"/>
      <c r="I92" s="6"/>
      <c r="J92" s="6"/>
      <c r="K92" s="6"/>
      <c r="M92" s="67"/>
      <c r="N92" s="6"/>
      <c r="O92" s="6"/>
      <c r="P92" s="6"/>
      <c r="Q92" s="6"/>
      <c r="R92" s="6"/>
      <c r="S92" s="6"/>
    </row>
    <row r="93" ht="15.75" customHeight="1">
      <c r="A93" s="67"/>
      <c r="B93" s="6"/>
      <c r="C93" s="6"/>
      <c r="D93" s="6"/>
      <c r="E93" s="6"/>
      <c r="F93" s="6"/>
      <c r="G93" s="6"/>
      <c r="H93" s="6"/>
      <c r="I93" s="6"/>
      <c r="J93" s="6"/>
      <c r="K93" s="6"/>
      <c r="M93" s="67"/>
      <c r="N93" s="6"/>
      <c r="O93" s="6"/>
      <c r="P93" s="6"/>
      <c r="Q93" s="6"/>
      <c r="R93" s="6"/>
      <c r="S93" s="6"/>
    </row>
    <row r="94" ht="15.75" customHeight="1">
      <c r="A94" s="67"/>
      <c r="B94" s="6"/>
      <c r="C94" s="6"/>
      <c r="D94" s="6"/>
      <c r="E94" s="6"/>
      <c r="F94" s="6"/>
      <c r="G94" s="6"/>
      <c r="H94" s="6"/>
      <c r="I94" s="6"/>
      <c r="J94" s="6"/>
      <c r="K94" s="6"/>
      <c r="M94" s="67"/>
      <c r="N94" s="6"/>
      <c r="O94" s="6"/>
      <c r="P94" s="6"/>
      <c r="Q94" s="6"/>
      <c r="R94" s="6"/>
      <c r="S94" s="6"/>
    </row>
    <row r="95" ht="15.75" customHeight="1">
      <c r="A95" s="67"/>
      <c r="B95" s="6"/>
      <c r="C95" s="6"/>
      <c r="D95" s="6"/>
      <c r="E95" s="6"/>
      <c r="F95" s="6"/>
      <c r="G95" s="6"/>
      <c r="H95" s="6"/>
      <c r="I95" s="6"/>
      <c r="J95" s="6"/>
      <c r="K95" s="6"/>
      <c r="M95" s="67"/>
      <c r="N95" s="6"/>
      <c r="O95" s="6"/>
      <c r="P95" s="6"/>
      <c r="Q95" s="6"/>
      <c r="R95" s="6"/>
      <c r="S95" s="6"/>
    </row>
    <row r="96" ht="15.75" customHeight="1">
      <c r="A96" s="67"/>
      <c r="B96" s="6"/>
      <c r="C96" s="6"/>
      <c r="D96" s="6"/>
      <c r="E96" s="6"/>
      <c r="F96" s="6"/>
      <c r="G96" s="6"/>
      <c r="H96" s="6"/>
      <c r="I96" s="6"/>
      <c r="J96" s="6"/>
      <c r="K96" s="6"/>
      <c r="M96" s="67"/>
      <c r="N96" s="6"/>
      <c r="O96" s="6"/>
      <c r="P96" s="6"/>
      <c r="Q96" s="6"/>
      <c r="R96" s="6"/>
      <c r="S96" s="6"/>
    </row>
    <row r="97" ht="15.75" customHeight="1">
      <c r="A97" s="67"/>
      <c r="B97" s="6"/>
      <c r="C97" s="6"/>
      <c r="D97" s="6"/>
      <c r="E97" s="6"/>
      <c r="F97" s="6"/>
      <c r="G97" s="6"/>
      <c r="H97" s="6"/>
      <c r="I97" s="6"/>
      <c r="J97" s="6"/>
      <c r="K97" s="6"/>
      <c r="M97" s="67"/>
      <c r="N97" s="6"/>
      <c r="O97" s="6"/>
      <c r="P97" s="6"/>
      <c r="Q97" s="6"/>
      <c r="R97" s="6"/>
      <c r="S97" s="6"/>
    </row>
    <row r="98" ht="15.75" customHeight="1">
      <c r="A98" s="67"/>
      <c r="B98" s="6"/>
      <c r="C98" s="6"/>
      <c r="D98" s="6"/>
      <c r="E98" s="6"/>
      <c r="F98" s="6"/>
      <c r="G98" s="6"/>
      <c r="H98" s="6"/>
      <c r="I98" s="6"/>
      <c r="J98" s="6"/>
      <c r="K98" s="6"/>
      <c r="M98" s="67"/>
      <c r="N98" s="6"/>
      <c r="O98" s="6"/>
      <c r="P98" s="6"/>
      <c r="Q98" s="6"/>
      <c r="R98" s="6"/>
      <c r="S98" s="6"/>
    </row>
    <row r="99" ht="15.75" customHeight="1">
      <c r="A99" s="67"/>
      <c r="B99" s="6"/>
      <c r="C99" s="6"/>
      <c r="D99" s="6"/>
      <c r="E99" s="6"/>
      <c r="F99" s="6"/>
      <c r="G99" s="6"/>
      <c r="H99" s="6"/>
      <c r="I99" s="6"/>
      <c r="J99" s="6"/>
      <c r="K99" s="6"/>
      <c r="M99" s="67"/>
      <c r="N99" s="6"/>
      <c r="O99" s="6"/>
      <c r="P99" s="6"/>
      <c r="Q99" s="6"/>
      <c r="R99" s="6"/>
      <c r="S99" s="6"/>
    </row>
    <row r="100" ht="15.75" customHeight="1">
      <c r="A100" s="67"/>
      <c r="B100" s="6"/>
      <c r="C100" s="6"/>
      <c r="D100" s="6"/>
      <c r="E100" s="6"/>
      <c r="F100" s="6"/>
      <c r="G100" s="6"/>
      <c r="H100" s="6"/>
      <c r="I100" s="6"/>
      <c r="J100" s="6"/>
      <c r="K100" s="6"/>
      <c r="M100" s="67"/>
      <c r="N100" s="6"/>
      <c r="O100" s="6"/>
      <c r="P100" s="6"/>
      <c r="Q100" s="6"/>
      <c r="R100" s="6"/>
      <c r="S100" s="6"/>
    </row>
    <row r="101" ht="15.75" customHeight="1">
      <c r="A101" s="67"/>
      <c r="B101" s="6"/>
      <c r="C101" s="6"/>
      <c r="D101" s="6"/>
      <c r="E101" s="6"/>
      <c r="F101" s="6"/>
      <c r="G101" s="6"/>
      <c r="H101" s="6"/>
      <c r="I101" s="6"/>
      <c r="J101" s="6"/>
      <c r="K101" s="6"/>
      <c r="M101" s="67"/>
      <c r="N101" s="6"/>
      <c r="O101" s="6"/>
      <c r="P101" s="6"/>
      <c r="Q101" s="6"/>
      <c r="R101" s="6"/>
      <c r="S101" s="6"/>
    </row>
    <row r="102" ht="15.75" customHeight="1">
      <c r="A102" s="67"/>
      <c r="B102" s="6"/>
      <c r="C102" s="6"/>
      <c r="D102" s="6"/>
      <c r="E102" s="6"/>
      <c r="F102" s="6"/>
      <c r="G102" s="6"/>
      <c r="H102" s="6"/>
      <c r="I102" s="6"/>
      <c r="J102" s="6"/>
      <c r="K102" s="6"/>
      <c r="M102" s="67"/>
      <c r="N102" s="6"/>
      <c r="O102" s="6"/>
      <c r="P102" s="6"/>
      <c r="Q102" s="6"/>
      <c r="R102" s="6"/>
      <c r="S102" s="6"/>
    </row>
    <row r="103" ht="15.75" customHeight="1">
      <c r="A103" s="67"/>
      <c r="B103" s="6"/>
      <c r="C103" s="6"/>
      <c r="D103" s="6"/>
      <c r="E103" s="6"/>
      <c r="F103" s="6"/>
      <c r="G103" s="6"/>
      <c r="H103" s="6"/>
      <c r="I103" s="6"/>
      <c r="J103" s="6"/>
      <c r="K103" s="6"/>
      <c r="M103" s="67"/>
      <c r="N103" s="6"/>
      <c r="O103" s="6"/>
      <c r="P103" s="6"/>
      <c r="Q103" s="6"/>
      <c r="R103" s="6"/>
      <c r="S103" s="6"/>
    </row>
    <row r="104" ht="15.75" customHeight="1">
      <c r="A104" s="67"/>
      <c r="B104" s="6"/>
      <c r="C104" s="6"/>
      <c r="D104" s="6"/>
      <c r="E104" s="6"/>
      <c r="F104" s="6"/>
      <c r="G104" s="6"/>
      <c r="H104" s="6"/>
      <c r="I104" s="6"/>
      <c r="J104" s="6"/>
      <c r="K104" s="6"/>
      <c r="M104" s="67"/>
      <c r="N104" s="6"/>
      <c r="O104" s="6"/>
      <c r="P104" s="6"/>
      <c r="Q104" s="6"/>
      <c r="R104" s="6"/>
      <c r="S104" s="6"/>
    </row>
    <row r="105" ht="15.75" customHeight="1">
      <c r="A105" s="67"/>
      <c r="B105" s="6"/>
      <c r="C105" s="6"/>
      <c r="D105" s="6"/>
      <c r="E105" s="6"/>
      <c r="F105" s="6"/>
      <c r="G105" s="6"/>
      <c r="H105" s="6"/>
      <c r="I105" s="6"/>
      <c r="J105" s="6"/>
      <c r="K105" s="6"/>
      <c r="M105" s="67"/>
      <c r="N105" s="6"/>
      <c r="O105" s="6"/>
      <c r="P105" s="6"/>
      <c r="Q105" s="6"/>
      <c r="R105" s="6"/>
      <c r="S105" s="6"/>
    </row>
    <row r="106" ht="15.75" customHeight="1">
      <c r="A106" s="67"/>
      <c r="B106" s="6"/>
      <c r="C106" s="6"/>
      <c r="D106" s="6"/>
      <c r="E106" s="6"/>
      <c r="F106" s="6"/>
      <c r="G106" s="6"/>
      <c r="H106" s="6"/>
      <c r="I106" s="6"/>
      <c r="J106" s="6"/>
      <c r="K106" s="6"/>
      <c r="M106" s="67"/>
      <c r="N106" s="6"/>
      <c r="O106" s="6"/>
      <c r="P106" s="6"/>
      <c r="Q106" s="6"/>
      <c r="R106" s="6"/>
      <c r="S106" s="6"/>
    </row>
    <row r="107" ht="15.75" customHeight="1">
      <c r="A107" s="67"/>
      <c r="B107" s="6"/>
      <c r="C107" s="6"/>
      <c r="D107" s="6"/>
      <c r="E107" s="6"/>
      <c r="F107" s="6"/>
      <c r="G107" s="6"/>
      <c r="H107" s="6"/>
      <c r="I107" s="6"/>
      <c r="J107" s="6"/>
      <c r="K107" s="6"/>
      <c r="M107" s="67"/>
      <c r="N107" s="6"/>
      <c r="O107" s="6"/>
      <c r="P107" s="6"/>
      <c r="Q107" s="6"/>
      <c r="R107" s="6"/>
      <c r="S107" s="6"/>
    </row>
    <row r="108" ht="15.75" customHeight="1">
      <c r="A108" s="67"/>
      <c r="B108" s="6"/>
      <c r="C108" s="6"/>
      <c r="D108" s="6"/>
      <c r="E108" s="6"/>
      <c r="F108" s="6"/>
      <c r="G108" s="6"/>
      <c r="H108" s="6"/>
      <c r="I108" s="6"/>
      <c r="J108" s="6"/>
      <c r="K108" s="6"/>
      <c r="M108" s="67"/>
      <c r="N108" s="6"/>
      <c r="O108" s="6"/>
      <c r="P108" s="6"/>
      <c r="Q108" s="6"/>
      <c r="R108" s="6"/>
      <c r="S108" s="6"/>
    </row>
    <row r="109" ht="15.75" customHeight="1">
      <c r="A109" s="67"/>
      <c r="B109" s="6"/>
      <c r="C109" s="6"/>
      <c r="D109" s="6"/>
      <c r="E109" s="6"/>
      <c r="F109" s="6"/>
      <c r="G109" s="6"/>
      <c r="H109" s="6"/>
      <c r="I109" s="6"/>
      <c r="J109" s="6"/>
      <c r="K109" s="6"/>
      <c r="M109" s="67"/>
      <c r="N109" s="6"/>
      <c r="O109" s="6"/>
      <c r="P109" s="6"/>
      <c r="Q109" s="6"/>
      <c r="R109" s="6"/>
      <c r="S109" s="6"/>
    </row>
    <row r="110" ht="15.75" customHeight="1">
      <c r="A110" s="67"/>
      <c r="B110" s="6"/>
      <c r="C110" s="6"/>
      <c r="D110" s="6"/>
      <c r="E110" s="6"/>
      <c r="F110" s="6"/>
      <c r="G110" s="6"/>
      <c r="H110" s="6"/>
      <c r="I110" s="6"/>
      <c r="J110" s="6"/>
      <c r="K110" s="6"/>
      <c r="M110" s="67"/>
      <c r="N110" s="6"/>
      <c r="O110" s="6"/>
      <c r="P110" s="6"/>
      <c r="Q110" s="6"/>
      <c r="R110" s="6"/>
      <c r="S110" s="6"/>
    </row>
    <row r="111" ht="15.75" customHeight="1">
      <c r="A111" s="67"/>
      <c r="B111" s="6"/>
      <c r="C111" s="6"/>
      <c r="D111" s="6"/>
      <c r="E111" s="6"/>
      <c r="F111" s="6"/>
      <c r="G111" s="6"/>
      <c r="H111" s="6"/>
      <c r="I111" s="6"/>
      <c r="J111" s="6"/>
      <c r="K111" s="6"/>
      <c r="M111" s="67"/>
      <c r="N111" s="6"/>
      <c r="O111" s="6"/>
      <c r="P111" s="6"/>
      <c r="Q111" s="6"/>
      <c r="R111" s="6"/>
      <c r="S111" s="6"/>
    </row>
    <row r="112" ht="15.75" customHeight="1">
      <c r="A112" s="67"/>
      <c r="B112" s="6"/>
      <c r="C112" s="6"/>
      <c r="D112" s="6"/>
      <c r="E112" s="6"/>
      <c r="F112" s="6"/>
      <c r="G112" s="6"/>
      <c r="H112" s="6"/>
      <c r="I112" s="6"/>
      <c r="J112" s="6"/>
      <c r="K112" s="6"/>
      <c r="M112" s="67"/>
      <c r="N112" s="6"/>
      <c r="O112" s="6"/>
      <c r="P112" s="6"/>
      <c r="Q112" s="6"/>
      <c r="R112" s="6"/>
      <c r="S112" s="6"/>
    </row>
    <row r="113" ht="15.75" customHeight="1">
      <c r="A113" s="67"/>
      <c r="B113" s="6"/>
      <c r="C113" s="6"/>
      <c r="D113" s="6"/>
      <c r="E113" s="6"/>
      <c r="F113" s="6"/>
      <c r="G113" s="6"/>
      <c r="H113" s="6"/>
      <c r="I113" s="6"/>
      <c r="J113" s="6"/>
      <c r="K113" s="6"/>
      <c r="M113" s="67"/>
      <c r="N113" s="6"/>
      <c r="O113" s="6"/>
      <c r="P113" s="6"/>
      <c r="Q113" s="6"/>
      <c r="R113" s="6"/>
      <c r="S113" s="6"/>
    </row>
    <row r="114" ht="15.75" customHeight="1">
      <c r="A114" s="67"/>
      <c r="B114" s="6"/>
      <c r="C114" s="6"/>
      <c r="D114" s="6"/>
      <c r="E114" s="6"/>
      <c r="F114" s="6"/>
      <c r="G114" s="6"/>
      <c r="H114" s="6"/>
      <c r="I114" s="6"/>
      <c r="J114" s="6"/>
      <c r="K114" s="6"/>
      <c r="M114" s="67"/>
      <c r="N114" s="6"/>
      <c r="O114" s="6"/>
      <c r="P114" s="6"/>
      <c r="Q114" s="6"/>
      <c r="R114" s="6"/>
      <c r="S114" s="6"/>
    </row>
    <row r="115" ht="15.75" customHeight="1">
      <c r="A115" s="67"/>
      <c r="B115" s="6"/>
      <c r="C115" s="6"/>
      <c r="D115" s="6"/>
      <c r="E115" s="6"/>
      <c r="F115" s="6"/>
      <c r="G115" s="6"/>
      <c r="H115" s="6"/>
      <c r="I115" s="6"/>
      <c r="J115" s="6"/>
      <c r="K115" s="6"/>
      <c r="M115" s="67"/>
      <c r="N115" s="6"/>
      <c r="O115" s="6"/>
      <c r="P115" s="6"/>
      <c r="Q115" s="6"/>
      <c r="R115" s="6"/>
      <c r="S115" s="6"/>
    </row>
    <row r="116" ht="15.75" customHeight="1">
      <c r="A116" s="67"/>
      <c r="B116" s="6"/>
      <c r="C116" s="6"/>
      <c r="D116" s="6"/>
      <c r="E116" s="6"/>
      <c r="F116" s="6"/>
      <c r="G116" s="6"/>
      <c r="H116" s="6"/>
      <c r="I116" s="6"/>
      <c r="J116" s="6"/>
      <c r="K116" s="6"/>
      <c r="M116" s="67"/>
      <c r="N116" s="6"/>
      <c r="O116" s="6"/>
      <c r="P116" s="6"/>
      <c r="Q116" s="6"/>
      <c r="R116" s="6"/>
      <c r="S116" s="6"/>
    </row>
    <row r="117" ht="15.75" customHeight="1">
      <c r="A117" s="67"/>
      <c r="B117" s="6"/>
      <c r="C117" s="6"/>
      <c r="D117" s="6"/>
      <c r="E117" s="6"/>
      <c r="F117" s="6"/>
      <c r="G117" s="6"/>
      <c r="H117" s="6"/>
      <c r="I117" s="6"/>
      <c r="J117" s="6"/>
      <c r="K117" s="6"/>
      <c r="M117" s="67"/>
      <c r="N117" s="6"/>
      <c r="O117" s="6"/>
      <c r="P117" s="6"/>
      <c r="Q117" s="6"/>
      <c r="R117" s="6"/>
      <c r="S117" s="6"/>
    </row>
    <row r="118" ht="15.75" customHeight="1">
      <c r="A118" s="67"/>
      <c r="B118" s="6"/>
      <c r="C118" s="6"/>
      <c r="D118" s="6"/>
      <c r="E118" s="6"/>
      <c r="F118" s="6"/>
      <c r="G118" s="6"/>
      <c r="H118" s="6"/>
      <c r="I118" s="6"/>
      <c r="J118" s="6"/>
      <c r="K118" s="6"/>
      <c r="M118" s="67"/>
      <c r="N118" s="6"/>
      <c r="O118" s="6"/>
      <c r="P118" s="6"/>
      <c r="Q118" s="6"/>
      <c r="R118" s="6"/>
      <c r="S118" s="6"/>
    </row>
    <row r="119" ht="15.75" customHeight="1">
      <c r="A119" s="67"/>
      <c r="B119" s="6"/>
      <c r="C119" s="6"/>
      <c r="D119" s="6"/>
      <c r="E119" s="6"/>
      <c r="F119" s="6"/>
      <c r="G119" s="6"/>
      <c r="H119" s="6"/>
      <c r="I119" s="6"/>
      <c r="J119" s="6"/>
      <c r="K119" s="6"/>
      <c r="M119" s="67"/>
      <c r="N119" s="6"/>
      <c r="O119" s="6"/>
      <c r="P119" s="6"/>
      <c r="Q119" s="6"/>
      <c r="R119" s="6"/>
      <c r="S119" s="6"/>
    </row>
    <row r="120" ht="15.75" customHeight="1">
      <c r="A120" s="67"/>
      <c r="B120" s="6"/>
      <c r="C120" s="6"/>
      <c r="D120" s="6"/>
      <c r="E120" s="6"/>
      <c r="F120" s="6"/>
      <c r="G120" s="6"/>
      <c r="H120" s="6"/>
      <c r="I120" s="6"/>
      <c r="J120" s="6"/>
      <c r="K120" s="6"/>
      <c r="M120" s="67"/>
      <c r="N120" s="6"/>
      <c r="O120" s="6"/>
      <c r="P120" s="6"/>
      <c r="Q120" s="6"/>
      <c r="R120" s="6"/>
      <c r="S120" s="6"/>
    </row>
    <row r="121" ht="15.75" customHeight="1">
      <c r="A121" s="67"/>
      <c r="B121" s="6"/>
      <c r="C121" s="6"/>
      <c r="D121" s="6"/>
      <c r="E121" s="6"/>
      <c r="F121" s="6"/>
      <c r="G121" s="6"/>
      <c r="H121" s="6"/>
      <c r="I121" s="6"/>
      <c r="J121" s="6"/>
      <c r="K121" s="6"/>
      <c r="M121" s="67"/>
      <c r="N121" s="6"/>
      <c r="O121" s="6"/>
      <c r="P121" s="6"/>
      <c r="Q121" s="6"/>
      <c r="R121" s="6"/>
      <c r="S121" s="6"/>
    </row>
    <row r="122" ht="15.75" customHeight="1">
      <c r="A122" s="67"/>
      <c r="B122" s="6"/>
      <c r="C122" s="6"/>
      <c r="D122" s="6"/>
      <c r="E122" s="6"/>
      <c r="F122" s="6"/>
      <c r="G122" s="6"/>
      <c r="H122" s="6"/>
      <c r="I122" s="6"/>
      <c r="J122" s="6"/>
      <c r="K122" s="6"/>
      <c r="M122" s="67"/>
      <c r="N122" s="6"/>
      <c r="O122" s="6"/>
      <c r="P122" s="6"/>
      <c r="Q122" s="6"/>
      <c r="R122" s="6"/>
      <c r="S122" s="6"/>
    </row>
    <row r="123" ht="15.75" customHeight="1">
      <c r="A123" s="67"/>
      <c r="B123" s="6"/>
      <c r="C123" s="6"/>
      <c r="D123" s="6"/>
      <c r="E123" s="6"/>
      <c r="F123" s="6"/>
      <c r="G123" s="6"/>
      <c r="H123" s="6"/>
      <c r="I123" s="6"/>
      <c r="J123" s="6"/>
      <c r="K123" s="6"/>
      <c r="M123" s="67"/>
      <c r="N123" s="6"/>
      <c r="O123" s="6"/>
      <c r="P123" s="6"/>
      <c r="Q123" s="6"/>
      <c r="R123" s="6"/>
      <c r="S123" s="6"/>
    </row>
    <row r="124" ht="15.75" customHeight="1">
      <c r="A124" s="67"/>
      <c r="B124" s="6"/>
      <c r="C124" s="6"/>
      <c r="D124" s="6"/>
      <c r="E124" s="6"/>
      <c r="F124" s="6"/>
      <c r="G124" s="6"/>
      <c r="H124" s="6"/>
      <c r="I124" s="6"/>
      <c r="J124" s="6"/>
      <c r="K124" s="6"/>
      <c r="M124" s="67"/>
      <c r="N124" s="6"/>
      <c r="O124" s="6"/>
      <c r="P124" s="6"/>
      <c r="Q124" s="6"/>
      <c r="R124" s="6"/>
      <c r="S124" s="6"/>
    </row>
    <row r="125" ht="15.75" customHeight="1">
      <c r="A125" s="67"/>
      <c r="B125" s="6"/>
      <c r="C125" s="6"/>
      <c r="D125" s="6"/>
      <c r="E125" s="6"/>
      <c r="F125" s="6"/>
      <c r="G125" s="6"/>
      <c r="H125" s="6"/>
      <c r="I125" s="6"/>
      <c r="J125" s="6"/>
      <c r="K125" s="6"/>
      <c r="M125" s="67"/>
      <c r="N125" s="6"/>
      <c r="O125" s="6"/>
      <c r="P125" s="6"/>
      <c r="Q125" s="6"/>
      <c r="R125" s="6"/>
      <c r="S125" s="6"/>
    </row>
    <row r="126" ht="15.75" customHeight="1">
      <c r="A126" s="67"/>
      <c r="B126" s="6"/>
      <c r="C126" s="6"/>
      <c r="D126" s="6"/>
      <c r="E126" s="6"/>
      <c r="F126" s="6"/>
      <c r="G126" s="6"/>
      <c r="H126" s="6"/>
      <c r="I126" s="6"/>
      <c r="J126" s="6"/>
      <c r="K126" s="6"/>
      <c r="M126" s="67"/>
      <c r="N126" s="6"/>
      <c r="O126" s="6"/>
      <c r="P126" s="6"/>
      <c r="Q126" s="6"/>
      <c r="R126" s="6"/>
      <c r="S126" s="6"/>
    </row>
    <row r="127" ht="15.75" customHeight="1">
      <c r="A127" s="67"/>
      <c r="B127" s="6"/>
      <c r="C127" s="6"/>
      <c r="D127" s="6"/>
      <c r="E127" s="6"/>
      <c r="F127" s="6"/>
      <c r="G127" s="6"/>
      <c r="H127" s="6"/>
      <c r="I127" s="6"/>
      <c r="J127" s="6"/>
      <c r="K127" s="6"/>
      <c r="M127" s="67"/>
      <c r="N127" s="6"/>
      <c r="O127" s="6"/>
      <c r="P127" s="6"/>
      <c r="Q127" s="6"/>
      <c r="R127" s="6"/>
      <c r="S127" s="6"/>
    </row>
    <row r="128" ht="15.75" customHeight="1">
      <c r="A128" s="67"/>
      <c r="B128" s="6"/>
      <c r="C128" s="6"/>
      <c r="D128" s="6"/>
      <c r="E128" s="6"/>
      <c r="F128" s="6"/>
      <c r="G128" s="6"/>
      <c r="H128" s="6"/>
      <c r="I128" s="6"/>
      <c r="J128" s="6"/>
      <c r="K128" s="6"/>
      <c r="M128" s="67"/>
      <c r="N128" s="6"/>
      <c r="O128" s="6"/>
      <c r="P128" s="6"/>
      <c r="Q128" s="6"/>
      <c r="R128" s="6"/>
      <c r="S128" s="6"/>
    </row>
    <row r="129" ht="15.75" customHeight="1">
      <c r="A129" s="67"/>
      <c r="B129" s="6"/>
      <c r="C129" s="6"/>
      <c r="D129" s="6"/>
      <c r="E129" s="6"/>
      <c r="F129" s="6"/>
      <c r="G129" s="6"/>
      <c r="H129" s="6"/>
      <c r="I129" s="6"/>
      <c r="J129" s="6"/>
      <c r="K129" s="6"/>
      <c r="M129" s="67"/>
      <c r="N129" s="6"/>
      <c r="O129" s="6"/>
      <c r="P129" s="6"/>
      <c r="Q129" s="6"/>
      <c r="R129" s="6"/>
      <c r="S129" s="6"/>
    </row>
    <row r="130" ht="15.75" customHeight="1">
      <c r="A130" s="67"/>
      <c r="B130" s="6"/>
      <c r="C130" s="6"/>
      <c r="D130" s="6"/>
      <c r="E130" s="6"/>
      <c r="F130" s="6"/>
      <c r="G130" s="6"/>
      <c r="H130" s="6"/>
      <c r="I130" s="6"/>
      <c r="J130" s="6"/>
      <c r="K130" s="6"/>
      <c r="M130" s="67"/>
      <c r="N130" s="6"/>
      <c r="O130" s="6"/>
      <c r="P130" s="6"/>
      <c r="Q130" s="6"/>
      <c r="R130" s="6"/>
      <c r="S130" s="6"/>
    </row>
    <row r="131" ht="15.75" customHeight="1">
      <c r="A131" s="67"/>
      <c r="B131" s="6"/>
      <c r="C131" s="6"/>
      <c r="D131" s="6"/>
      <c r="E131" s="6"/>
      <c r="F131" s="6"/>
      <c r="G131" s="6"/>
      <c r="H131" s="6"/>
      <c r="I131" s="6"/>
      <c r="J131" s="6"/>
      <c r="K131" s="6"/>
      <c r="M131" s="67"/>
      <c r="N131" s="6"/>
      <c r="O131" s="6"/>
      <c r="P131" s="6"/>
      <c r="Q131" s="6"/>
      <c r="R131" s="6"/>
      <c r="S131" s="6"/>
    </row>
    <row r="132" ht="15.75" customHeight="1">
      <c r="A132" s="67"/>
      <c r="B132" s="6"/>
      <c r="C132" s="6"/>
      <c r="D132" s="6"/>
      <c r="E132" s="6"/>
      <c r="F132" s="6"/>
      <c r="G132" s="6"/>
      <c r="H132" s="6"/>
      <c r="I132" s="6"/>
      <c r="J132" s="6"/>
      <c r="K132" s="6"/>
      <c r="M132" s="67"/>
      <c r="N132" s="6"/>
      <c r="O132" s="6"/>
      <c r="P132" s="6"/>
      <c r="Q132" s="6"/>
      <c r="R132" s="6"/>
      <c r="S132" s="6"/>
    </row>
    <row r="133" ht="15.75" customHeight="1">
      <c r="A133" s="67"/>
      <c r="B133" s="6"/>
      <c r="C133" s="6"/>
      <c r="D133" s="6"/>
      <c r="E133" s="6"/>
      <c r="F133" s="6"/>
      <c r="G133" s="6"/>
      <c r="H133" s="6"/>
      <c r="I133" s="6"/>
      <c r="J133" s="6"/>
      <c r="K133" s="6"/>
      <c r="M133" s="67"/>
      <c r="N133" s="6"/>
      <c r="O133" s="6"/>
      <c r="P133" s="6"/>
      <c r="Q133" s="6"/>
      <c r="R133" s="6"/>
      <c r="S133" s="6"/>
    </row>
    <row r="134" ht="15.75" customHeight="1">
      <c r="A134" s="67"/>
      <c r="B134" s="6"/>
      <c r="C134" s="6"/>
      <c r="D134" s="6"/>
      <c r="E134" s="6"/>
      <c r="F134" s="6"/>
      <c r="G134" s="6"/>
      <c r="H134" s="6"/>
      <c r="I134" s="6"/>
      <c r="J134" s="6"/>
      <c r="K134" s="6"/>
      <c r="M134" s="67"/>
      <c r="N134" s="6"/>
      <c r="O134" s="6"/>
      <c r="P134" s="6"/>
      <c r="Q134" s="6"/>
      <c r="R134" s="6"/>
      <c r="S134" s="6"/>
    </row>
    <row r="135" ht="15.75" customHeight="1">
      <c r="A135" s="67"/>
      <c r="B135" s="6"/>
      <c r="C135" s="6"/>
      <c r="D135" s="6"/>
      <c r="E135" s="6"/>
      <c r="F135" s="6"/>
      <c r="G135" s="6"/>
      <c r="H135" s="6"/>
      <c r="I135" s="6"/>
      <c r="J135" s="6"/>
      <c r="K135" s="6"/>
      <c r="M135" s="67"/>
      <c r="N135" s="6"/>
      <c r="O135" s="6"/>
      <c r="P135" s="6"/>
      <c r="Q135" s="6"/>
      <c r="R135" s="6"/>
      <c r="S135" s="6"/>
    </row>
    <row r="136" ht="15.75" customHeight="1">
      <c r="A136" s="67"/>
      <c r="B136" s="6"/>
      <c r="C136" s="6"/>
      <c r="D136" s="6"/>
      <c r="E136" s="6"/>
      <c r="F136" s="6"/>
      <c r="G136" s="6"/>
      <c r="H136" s="6"/>
      <c r="I136" s="6"/>
      <c r="J136" s="6"/>
      <c r="K136" s="6"/>
      <c r="M136" s="67"/>
      <c r="N136" s="6"/>
      <c r="O136" s="6"/>
      <c r="P136" s="6"/>
      <c r="Q136" s="6"/>
      <c r="R136" s="6"/>
      <c r="S136" s="6"/>
    </row>
    <row r="137" ht="15.75" customHeight="1">
      <c r="A137" s="67"/>
      <c r="B137" s="6"/>
      <c r="C137" s="6"/>
      <c r="D137" s="6"/>
      <c r="E137" s="6"/>
      <c r="F137" s="6"/>
      <c r="G137" s="6"/>
      <c r="H137" s="6"/>
      <c r="I137" s="6"/>
      <c r="J137" s="6"/>
      <c r="K137" s="6"/>
      <c r="M137" s="67"/>
      <c r="N137" s="6"/>
      <c r="O137" s="6"/>
      <c r="P137" s="6"/>
      <c r="Q137" s="6"/>
      <c r="R137" s="6"/>
      <c r="S137" s="6"/>
    </row>
    <row r="138" ht="15.75" customHeight="1">
      <c r="A138" s="67"/>
      <c r="B138" s="6"/>
      <c r="C138" s="6"/>
      <c r="D138" s="6"/>
      <c r="E138" s="6"/>
      <c r="F138" s="6"/>
      <c r="G138" s="6"/>
      <c r="H138" s="6"/>
      <c r="I138" s="6"/>
      <c r="J138" s="6"/>
      <c r="K138" s="6"/>
      <c r="M138" s="67"/>
      <c r="N138" s="6"/>
      <c r="O138" s="6"/>
      <c r="P138" s="6"/>
      <c r="Q138" s="6"/>
      <c r="R138" s="6"/>
      <c r="S138" s="6"/>
    </row>
    <row r="139" ht="15.75" customHeight="1">
      <c r="A139" s="67"/>
      <c r="B139" s="6"/>
      <c r="C139" s="6"/>
      <c r="D139" s="6"/>
      <c r="E139" s="6"/>
      <c r="F139" s="6"/>
      <c r="G139" s="6"/>
      <c r="H139" s="6"/>
      <c r="I139" s="6"/>
      <c r="J139" s="6"/>
      <c r="K139" s="6"/>
      <c r="M139" s="67"/>
      <c r="N139" s="6"/>
      <c r="O139" s="6"/>
      <c r="P139" s="6"/>
      <c r="Q139" s="6"/>
      <c r="R139" s="6"/>
      <c r="S139" s="6"/>
    </row>
    <row r="140" ht="15.75" customHeight="1">
      <c r="A140" s="67"/>
      <c r="B140" s="6"/>
      <c r="C140" s="6"/>
      <c r="D140" s="6"/>
      <c r="E140" s="6"/>
      <c r="F140" s="6"/>
      <c r="G140" s="6"/>
      <c r="H140" s="6"/>
      <c r="I140" s="6"/>
      <c r="J140" s="6"/>
      <c r="K140" s="6"/>
      <c r="M140" s="67"/>
      <c r="N140" s="6"/>
      <c r="O140" s="6"/>
      <c r="P140" s="6"/>
      <c r="Q140" s="6"/>
      <c r="R140" s="6"/>
      <c r="S140" s="6"/>
    </row>
    <row r="141" ht="15.75" customHeight="1">
      <c r="A141" s="67"/>
      <c r="B141" s="6"/>
      <c r="C141" s="6"/>
      <c r="D141" s="6"/>
      <c r="E141" s="6"/>
      <c r="F141" s="6"/>
      <c r="G141" s="6"/>
      <c r="H141" s="6"/>
      <c r="I141" s="6"/>
      <c r="J141" s="6"/>
      <c r="K141" s="6"/>
      <c r="M141" s="67"/>
      <c r="N141" s="6"/>
      <c r="O141" s="6"/>
      <c r="P141" s="6"/>
      <c r="Q141" s="6"/>
      <c r="R141" s="6"/>
      <c r="S141" s="6"/>
    </row>
    <row r="142" ht="15.75" customHeight="1">
      <c r="A142" s="67"/>
      <c r="B142" s="6"/>
      <c r="C142" s="6"/>
      <c r="D142" s="6"/>
      <c r="E142" s="6"/>
      <c r="F142" s="6"/>
      <c r="G142" s="6"/>
      <c r="H142" s="6"/>
      <c r="I142" s="6"/>
      <c r="J142" s="6"/>
      <c r="K142" s="6"/>
      <c r="M142" s="67"/>
      <c r="N142" s="6"/>
      <c r="O142" s="6"/>
      <c r="P142" s="6"/>
      <c r="Q142" s="6"/>
      <c r="R142" s="6"/>
      <c r="S142" s="6"/>
    </row>
    <row r="143" ht="15.75" customHeight="1">
      <c r="A143" s="67"/>
      <c r="B143" s="6"/>
      <c r="C143" s="6"/>
      <c r="D143" s="6"/>
      <c r="E143" s="6"/>
      <c r="F143" s="6"/>
      <c r="G143" s="6"/>
      <c r="H143" s="6"/>
      <c r="I143" s="6"/>
      <c r="J143" s="6"/>
      <c r="K143" s="6"/>
      <c r="M143" s="67"/>
      <c r="N143" s="6"/>
      <c r="O143" s="6"/>
      <c r="P143" s="6"/>
      <c r="Q143" s="6"/>
      <c r="R143" s="6"/>
      <c r="S143" s="6"/>
    </row>
    <row r="144" ht="15.75" customHeight="1">
      <c r="A144" s="67"/>
      <c r="B144" s="6"/>
      <c r="C144" s="6"/>
      <c r="D144" s="6"/>
      <c r="E144" s="6"/>
      <c r="F144" s="6"/>
      <c r="G144" s="6"/>
      <c r="H144" s="6"/>
      <c r="I144" s="6"/>
      <c r="J144" s="6"/>
      <c r="K144" s="6"/>
      <c r="M144" s="67"/>
      <c r="N144" s="6"/>
      <c r="O144" s="6"/>
      <c r="P144" s="6"/>
      <c r="Q144" s="6"/>
      <c r="R144" s="6"/>
      <c r="S144" s="6"/>
    </row>
    <row r="145" ht="15.75" customHeight="1">
      <c r="A145" s="67"/>
      <c r="B145" s="6"/>
      <c r="C145" s="6"/>
      <c r="D145" s="6"/>
      <c r="E145" s="6"/>
      <c r="F145" s="6"/>
      <c r="G145" s="6"/>
      <c r="H145" s="6"/>
      <c r="I145" s="6"/>
      <c r="J145" s="6"/>
      <c r="K145" s="6"/>
      <c r="M145" s="67"/>
      <c r="N145" s="6"/>
      <c r="O145" s="6"/>
      <c r="P145" s="6"/>
      <c r="Q145" s="6"/>
      <c r="R145" s="6"/>
      <c r="S145" s="6"/>
    </row>
    <row r="146" ht="15.75" customHeight="1">
      <c r="A146" s="67"/>
      <c r="B146" s="6"/>
      <c r="C146" s="6"/>
      <c r="D146" s="6"/>
      <c r="E146" s="6"/>
      <c r="F146" s="6"/>
      <c r="G146" s="6"/>
      <c r="H146" s="6"/>
      <c r="I146" s="6"/>
      <c r="J146" s="6"/>
      <c r="K146" s="6"/>
      <c r="M146" s="67"/>
      <c r="N146" s="6"/>
      <c r="O146" s="6"/>
      <c r="P146" s="6"/>
      <c r="Q146" s="6"/>
      <c r="R146" s="6"/>
      <c r="S146" s="6"/>
    </row>
    <row r="147" ht="15.75" customHeight="1">
      <c r="A147" s="67"/>
      <c r="B147" s="6"/>
      <c r="C147" s="6"/>
      <c r="D147" s="6"/>
      <c r="E147" s="6"/>
      <c r="F147" s="6"/>
      <c r="G147" s="6"/>
      <c r="H147" s="6"/>
      <c r="I147" s="6"/>
      <c r="J147" s="6"/>
      <c r="K147" s="6"/>
      <c r="M147" s="67"/>
      <c r="N147" s="6"/>
      <c r="O147" s="6"/>
      <c r="P147" s="6"/>
      <c r="Q147" s="6"/>
      <c r="R147" s="6"/>
      <c r="S147" s="6"/>
    </row>
    <row r="148" ht="15.75" customHeight="1">
      <c r="A148" s="67"/>
      <c r="B148" s="6"/>
      <c r="C148" s="6"/>
      <c r="D148" s="6"/>
      <c r="E148" s="6"/>
      <c r="F148" s="6"/>
      <c r="G148" s="6"/>
      <c r="H148" s="6"/>
      <c r="I148" s="6"/>
      <c r="J148" s="6"/>
      <c r="K148" s="6"/>
      <c r="M148" s="67"/>
      <c r="N148" s="6"/>
      <c r="O148" s="6"/>
      <c r="P148" s="6"/>
      <c r="Q148" s="6"/>
      <c r="R148" s="6"/>
      <c r="S148" s="6"/>
    </row>
    <row r="149" ht="15.75" customHeight="1">
      <c r="A149" s="67"/>
      <c r="B149" s="6"/>
      <c r="C149" s="6"/>
      <c r="D149" s="6"/>
      <c r="E149" s="6"/>
      <c r="F149" s="6"/>
      <c r="G149" s="6"/>
      <c r="H149" s="6"/>
      <c r="I149" s="6"/>
      <c r="J149" s="6"/>
      <c r="K149" s="6"/>
      <c r="M149" s="67"/>
      <c r="N149" s="6"/>
      <c r="O149" s="6"/>
      <c r="P149" s="6"/>
      <c r="Q149" s="6"/>
      <c r="R149" s="6"/>
      <c r="S149" s="6"/>
    </row>
    <row r="150" ht="15.75" customHeight="1">
      <c r="A150" s="67"/>
      <c r="B150" s="6"/>
      <c r="C150" s="6"/>
      <c r="D150" s="6"/>
      <c r="E150" s="6"/>
      <c r="F150" s="6"/>
      <c r="G150" s="6"/>
      <c r="H150" s="6"/>
      <c r="I150" s="6"/>
      <c r="J150" s="6"/>
      <c r="K150" s="6"/>
      <c r="M150" s="67"/>
      <c r="N150" s="6"/>
      <c r="O150" s="6"/>
      <c r="P150" s="6"/>
      <c r="Q150" s="6"/>
      <c r="R150" s="6"/>
      <c r="S150" s="6"/>
    </row>
    <row r="151" ht="15.75" customHeight="1">
      <c r="A151" s="67"/>
      <c r="B151" s="6"/>
      <c r="C151" s="6"/>
      <c r="D151" s="6"/>
      <c r="E151" s="6"/>
      <c r="F151" s="6"/>
      <c r="G151" s="6"/>
      <c r="H151" s="6"/>
      <c r="I151" s="6"/>
      <c r="J151" s="6"/>
      <c r="K151" s="6"/>
      <c r="M151" s="67"/>
      <c r="N151" s="6"/>
      <c r="O151" s="6"/>
      <c r="P151" s="6"/>
      <c r="Q151" s="6"/>
      <c r="R151" s="6"/>
      <c r="S151" s="6"/>
    </row>
    <row r="152" ht="15.75" customHeight="1">
      <c r="A152" s="67"/>
      <c r="B152" s="6"/>
      <c r="C152" s="6"/>
      <c r="D152" s="6"/>
      <c r="E152" s="6"/>
      <c r="F152" s="6"/>
      <c r="G152" s="6"/>
      <c r="H152" s="6"/>
      <c r="I152" s="6"/>
      <c r="J152" s="6"/>
      <c r="K152" s="6"/>
      <c r="M152" s="67"/>
      <c r="N152" s="6"/>
      <c r="O152" s="6"/>
      <c r="P152" s="6"/>
      <c r="Q152" s="6"/>
      <c r="R152" s="6"/>
      <c r="S152" s="6"/>
    </row>
    <row r="153" ht="15.75" customHeight="1">
      <c r="A153" s="67"/>
      <c r="B153" s="6"/>
      <c r="C153" s="6"/>
      <c r="D153" s="6"/>
      <c r="E153" s="6"/>
      <c r="F153" s="6"/>
      <c r="G153" s="6"/>
      <c r="H153" s="6"/>
      <c r="I153" s="6"/>
      <c r="J153" s="6"/>
      <c r="K153" s="6"/>
      <c r="M153" s="67"/>
      <c r="N153" s="6"/>
      <c r="O153" s="6"/>
      <c r="P153" s="6"/>
      <c r="Q153" s="6"/>
      <c r="R153" s="6"/>
      <c r="S153" s="6"/>
    </row>
    <row r="154" ht="15.75" customHeight="1">
      <c r="A154" s="67"/>
      <c r="B154" s="6"/>
      <c r="C154" s="6"/>
      <c r="D154" s="6"/>
      <c r="E154" s="6"/>
      <c r="F154" s="6"/>
      <c r="G154" s="6"/>
      <c r="H154" s="6"/>
      <c r="I154" s="6"/>
      <c r="J154" s="6"/>
      <c r="K154" s="6"/>
      <c r="M154" s="67"/>
      <c r="N154" s="6"/>
      <c r="O154" s="6"/>
      <c r="P154" s="6"/>
      <c r="Q154" s="6"/>
      <c r="R154" s="6"/>
      <c r="S154" s="6"/>
    </row>
    <row r="155" ht="15.75" customHeight="1">
      <c r="A155" s="67"/>
      <c r="B155" s="6"/>
      <c r="C155" s="6"/>
      <c r="D155" s="6"/>
      <c r="E155" s="6"/>
      <c r="F155" s="6"/>
      <c r="G155" s="6"/>
      <c r="H155" s="6"/>
      <c r="I155" s="6"/>
      <c r="J155" s="6"/>
      <c r="K155" s="6"/>
      <c r="M155" s="67"/>
      <c r="N155" s="6"/>
      <c r="O155" s="6"/>
      <c r="P155" s="6"/>
      <c r="Q155" s="6"/>
      <c r="R155" s="6"/>
      <c r="S155" s="6"/>
    </row>
    <row r="156" ht="15.75" customHeight="1">
      <c r="A156" s="67"/>
      <c r="B156" s="6"/>
      <c r="C156" s="6"/>
      <c r="D156" s="6"/>
      <c r="E156" s="6"/>
      <c r="F156" s="6"/>
      <c r="G156" s="6"/>
      <c r="H156" s="6"/>
      <c r="I156" s="6"/>
      <c r="J156" s="6"/>
      <c r="K156" s="6"/>
      <c r="M156" s="67"/>
      <c r="N156" s="6"/>
      <c r="O156" s="6"/>
      <c r="P156" s="6"/>
      <c r="Q156" s="6"/>
      <c r="R156" s="6"/>
      <c r="S156" s="6"/>
    </row>
    <row r="157" ht="15.75" customHeight="1">
      <c r="A157" s="67"/>
      <c r="B157" s="6"/>
      <c r="C157" s="6"/>
      <c r="D157" s="6"/>
      <c r="E157" s="6"/>
      <c r="F157" s="6"/>
      <c r="G157" s="6"/>
      <c r="H157" s="6"/>
      <c r="I157" s="6"/>
      <c r="J157" s="6"/>
      <c r="K157" s="6"/>
      <c r="M157" s="67"/>
      <c r="N157" s="6"/>
      <c r="O157" s="6"/>
      <c r="P157" s="6"/>
      <c r="Q157" s="6"/>
      <c r="R157" s="6"/>
      <c r="S157" s="6"/>
    </row>
    <row r="158" ht="15.75" customHeight="1">
      <c r="A158" s="67"/>
      <c r="B158" s="6"/>
      <c r="C158" s="6"/>
      <c r="D158" s="6"/>
      <c r="E158" s="6"/>
      <c r="F158" s="6"/>
      <c r="G158" s="6"/>
      <c r="H158" s="6"/>
      <c r="I158" s="6"/>
      <c r="J158" s="6"/>
      <c r="K158" s="6"/>
      <c r="M158" s="67"/>
      <c r="N158" s="6"/>
      <c r="O158" s="6"/>
      <c r="P158" s="6"/>
      <c r="Q158" s="6"/>
      <c r="R158" s="6"/>
      <c r="S158" s="6"/>
    </row>
    <row r="159" ht="15.75" customHeight="1">
      <c r="A159" s="67"/>
      <c r="B159" s="6"/>
      <c r="C159" s="6"/>
      <c r="D159" s="6"/>
      <c r="E159" s="6"/>
      <c r="F159" s="6"/>
      <c r="G159" s="6"/>
      <c r="H159" s="6"/>
      <c r="I159" s="6"/>
      <c r="J159" s="6"/>
      <c r="K159" s="6"/>
      <c r="M159" s="67"/>
      <c r="N159" s="6"/>
      <c r="O159" s="6"/>
      <c r="P159" s="6"/>
      <c r="Q159" s="6"/>
      <c r="R159" s="6"/>
      <c r="S159" s="6"/>
    </row>
    <row r="160" ht="15.75" customHeight="1">
      <c r="A160" s="67"/>
      <c r="B160" s="6"/>
      <c r="C160" s="6"/>
      <c r="D160" s="6"/>
      <c r="E160" s="6"/>
      <c r="F160" s="6"/>
      <c r="G160" s="6"/>
      <c r="H160" s="6"/>
      <c r="I160" s="6"/>
      <c r="J160" s="6"/>
      <c r="K160" s="6"/>
      <c r="M160" s="67"/>
      <c r="N160" s="6"/>
      <c r="O160" s="6"/>
      <c r="P160" s="6"/>
      <c r="Q160" s="6"/>
      <c r="R160" s="6"/>
      <c r="S160" s="6"/>
    </row>
    <row r="161" ht="15.75" customHeight="1">
      <c r="A161" s="67"/>
      <c r="B161" s="6"/>
      <c r="C161" s="6"/>
      <c r="D161" s="6"/>
      <c r="E161" s="6"/>
      <c r="F161" s="6"/>
      <c r="G161" s="6"/>
      <c r="H161" s="6"/>
      <c r="I161" s="6"/>
      <c r="J161" s="6"/>
      <c r="K161" s="6"/>
      <c r="M161" s="67"/>
      <c r="N161" s="6"/>
      <c r="O161" s="6"/>
      <c r="P161" s="6"/>
      <c r="Q161" s="6"/>
      <c r="R161" s="6"/>
      <c r="S161" s="6"/>
    </row>
    <row r="162" ht="15.75" customHeight="1">
      <c r="A162" s="67"/>
      <c r="B162" s="6"/>
      <c r="C162" s="6"/>
      <c r="D162" s="6"/>
      <c r="E162" s="6"/>
      <c r="F162" s="6"/>
      <c r="G162" s="6"/>
      <c r="H162" s="6"/>
      <c r="I162" s="6"/>
      <c r="J162" s="6"/>
      <c r="K162" s="6"/>
      <c r="M162" s="67"/>
      <c r="N162" s="6"/>
      <c r="O162" s="6"/>
      <c r="P162" s="6"/>
      <c r="Q162" s="6"/>
      <c r="R162" s="6"/>
      <c r="S162" s="6"/>
    </row>
    <row r="163" ht="15.75" customHeight="1">
      <c r="A163" s="67"/>
      <c r="B163" s="6"/>
      <c r="C163" s="6"/>
      <c r="D163" s="6"/>
      <c r="E163" s="6"/>
      <c r="F163" s="6"/>
      <c r="G163" s="6"/>
      <c r="H163" s="6"/>
      <c r="I163" s="6"/>
      <c r="J163" s="6"/>
      <c r="K163" s="6"/>
      <c r="M163" s="67"/>
      <c r="N163" s="6"/>
      <c r="O163" s="6"/>
      <c r="P163" s="6"/>
      <c r="Q163" s="6"/>
      <c r="R163" s="6"/>
      <c r="S163" s="6"/>
    </row>
    <row r="164" ht="15.75" customHeight="1">
      <c r="A164" s="67"/>
      <c r="B164" s="6"/>
      <c r="C164" s="6"/>
      <c r="D164" s="6"/>
      <c r="E164" s="6"/>
      <c r="F164" s="6"/>
      <c r="G164" s="6"/>
      <c r="H164" s="6"/>
      <c r="I164" s="6"/>
      <c r="J164" s="6"/>
      <c r="K164" s="6"/>
      <c r="M164" s="67"/>
      <c r="N164" s="6"/>
      <c r="O164" s="6"/>
      <c r="P164" s="6"/>
      <c r="Q164" s="6"/>
      <c r="R164" s="6"/>
      <c r="S164" s="6"/>
    </row>
    <row r="165" ht="15.75" customHeight="1">
      <c r="A165" s="67"/>
      <c r="B165" s="6"/>
      <c r="C165" s="6"/>
      <c r="D165" s="6"/>
      <c r="E165" s="6"/>
      <c r="F165" s="6"/>
      <c r="G165" s="6"/>
      <c r="H165" s="6"/>
      <c r="I165" s="6"/>
      <c r="J165" s="6"/>
      <c r="K165" s="6"/>
      <c r="M165" s="67"/>
      <c r="N165" s="6"/>
      <c r="O165" s="6"/>
      <c r="P165" s="6"/>
      <c r="Q165" s="6"/>
      <c r="R165" s="6"/>
      <c r="S165" s="6"/>
    </row>
    <row r="166" ht="15.75" customHeight="1">
      <c r="A166" s="67"/>
      <c r="B166" s="6"/>
      <c r="C166" s="6"/>
      <c r="D166" s="6"/>
      <c r="E166" s="6"/>
      <c r="F166" s="6"/>
      <c r="G166" s="6"/>
      <c r="H166" s="6"/>
      <c r="I166" s="6"/>
      <c r="J166" s="6"/>
      <c r="K166" s="6"/>
      <c r="M166" s="67"/>
      <c r="N166" s="6"/>
      <c r="O166" s="6"/>
      <c r="P166" s="6"/>
      <c r="Q166" s="6"/>
      <c r="R166" s="6"/>
      <c r="S166" s="6"/>
    </row>
    <row r="167" ht="15.75" customHeight="1">
      <c r="A167" s="67"/>
      <c r="B167" s="6"/>
      <c r="C167" s="6"/>
      <c r="D167" s="6"/>
      <c r="E167" s="6"/>
      <c r="F167" s="6"/>
      <c r="G167" s="6"/>
      <c r="H167" s="6"/>
      <c r="I167" s="6"/>
      <c r="J167" s="6"/>
      <c r="K167" s="6"/>
      <c r="M167" s="67"/>
      <c r="N167" s="6"/>
      <c r="O167" s="6"/>
      <c r="P167" s="6"/>
      <c r="Q167" s="6"/>
      <c r="R167" s="6"/>
      <c r="S167" s="6"/>
    </row>
    <row r="168" ht="15.75" customHeight="1">
      <c r="A168" s="67"/>
      <c r="B168" s="6"/>
      <c r="C168" s="6"/>
      <c r="D168" s="6"/>
      <c r="E168" s="6"/>
      <c r="F168" s="6"/>
      <c r="G168" s="6"/>
      <c r="H168" s="6"/>
      <c r="I168" s="6"/>
      <c r="J168" s="6"/>
      <c r="K168" s="6"/>
      <c r="M168" s="67"/>
      <c r="N168" s="6"/>
      <c r="O168" s="6"/>
      <c r="P168" s="6"/>
      <c r="Q168" s="6"/>
      <c r="R168" s="6"/>
      <c r="S168" s="6"/>
    </row>
    <row r="169" ht="15.75" customHeight="1">
      <c r="A169" s="67"/>
      <c r="B169" s="6"/>
      <c r="C169" s="6"/>
      <c r="D169" s="6"/>
      <c r="E169" s="6"/>
      <c r="F169" s="6"/>
      <c r="G169" s="6"/>
      <c r="H169" s="6"/>
      <c r="I169" s="6"/>
      <c r="J169" s="6"/>
      <c r="K169" s="6"/>
      <c r="M169" s="67"/>
      <c r="N169" s="6"/>
      <c r="O169" s="6"/>
      <c r="P169" s="6"/>
      <c r="Q169" s="6"/>
      <c r="R169" s="6"/>
      <c r="S169" s="6"/>
    </row>
    <row r="170" ht="15.75" customHeight="1">
      <c r="A170" s="67"/>
      <c r="B170" s="6"/>
      <c r="C170" s="6"/>
      <c r="D170" s="6"/>
      <c r="E170" s="6"/>
      <c r="F170" s="6"/>
      <c r="G170" s="6"/>
      <c r="H170" s="6"/>
      <c r="I170" s="6"/>
      <c r="J170" s="6"/>
      <c r="K170" s="6"/>
      <c r="M170" s="67"/>
      <c r="N170" s="6"/>
      <c r="O170" s="6"/>
      <c r="P170" s="6"/>
      <c r="Q170" s="6"/>
      <c r="R170" s="6"/>
      <c r="S170" s="6"/>
    </row>
    <row r="171" ht="15.75" customHeight="1">
      <c r="A171" s="67"/>
      <c r="B171" s="6"/>
      <c r="C171" s="6"/>
      <c r="D171" s="6"/>
      <c r="E171" s="6"/>
      <c r="F171" s="6"/>
      <c r="G171" s="6"/>
      <c r="H171" s="6"/>
      <c r="I171" s="6"/>
      <c r="J171" s="6"/>
      <c r="K171" s="6"/>
      <c r="M171" s="67"/>
      <c r="N171" s="6"/>
      <c r="O171" s="6"/>
      <c r="P171" s="6"/>
      <c r="Q171" s="6"/>
      <c r="R171" s="6"/>
      <c r="S171" s="6"/>
    </row>
    <row r="172" ht="15.75" customHeight="1">
      <c r="A172" s="67"/>
      <c r="B172" s="6"/>
      <c r="C172" s="6"/>
      <c r="D172" s="6"/>
      <c r="E172" s="6"/>
      <c r="F172" s="6"/>
      <c r="G172" s="6"/>
      <c r="H172" s="6"/>
      <c r="I172" s="6"/>
      <c r="J172" s="6"/>
      <c r="K172" s="6"/>
      <c r="M172" s="67"/>
      <c r="N172" s="6"/>
      <c r="O172" s="6"/>
      <c r="P172" s="6"/>
      <c r="Q172" s="6"/>
      <c r="R172" s="6"/>
      <c r="S172" s="6"/>
    </row>
    <row r="173" ht="15.75" customHeight="1">
      <c r="A173" s="67"/>
      <c r="B173" s="6"/>
      <c r="C173" s="6"/>
      <c r="D173" s="6"/>
      <c r="E173" s="6"/>
      <c r="F173" s="6"/>
      <c r="G173" s="6"/>
      <c r="H173" s="6"/>
      <c r="I173" s="6"/>
      <c r="J173" s="6"/>
      <c r="K173" s="6"/>
      <c r="M173" s="67"/>
      <c r="N173" s="6"/>
      <c r="O173" s="6"/>
      <c r="P173" s="6"/>
      <c r="Q173" s="6"/>
      <c r="R173" s="6"/>
      <c r="S173" s="6"/>
    </row>
    <row r="174" ht="15.75" customHeight="1">
      <c r="A174" s="67"/>
      <c r="B174" s="6"/>
      <c r="C174" s="6"/>
      <c r="D174" s="6"/>
      <c r="E174" s="6"/>
      <c r="F174" s="6"/>
      <c r="G174" s="6"/>
      <c r="H174" s="6"/>
      <c r="I174" s="6"/>
      <c r="J174" s="6"/>
      <c r="K174" s="6"/>
      <c r="M174" s="67"/>
      <c r="N174" s="6"/>
      <c r="O174" s="6"/>
      <c r="P174" s="6"/>
      <c r="Q174" s="6"/>
      <c r="R174" s="6"/>
      <c r="S174" s="6"/>
    </row>
    <row r="175" ht="15.75" customHeight="1">
      <c r="A175" s="67"/>
      <c r="B175" s="6"/>
      <c r="C175" s="6"/>
      <c r="D175" s="6"/>
      <c r="E175" s="6"/>
      <c r="F175" s="6"/>
      <c r="G175" s="6"/>
      <c r="H175" s="6"/>
      <c r="I175" s="6"/>
      <c r="J175" s="6"/>
      <c r="K175" s="6"/>
      <c r="M175" s="67"/>
      <c r="N175" s="6"/>
      <c r="O175" s="6"/>
      <c r="P175" s="6"/>
      <c r="Q175" s="6"/>
      <c r="R175" s="6"/>
      <c r="S175" s="6"/>
    </row>
    <row r="176" ht="15.75" customHeight="1">
      <c r="A176" s="67"/>
      <c r="B176" s="6"/>
      <c r="C176" s="6"/>
      <c r="D176" s="6"/>
      <c r="E176" s="6"/>
      <c r="F176" s="6"/>
      <c r="G176" s="6"/>
      <c r="H176" s="6"/>
      <c r="I176" s="6"/>
      <c r="J176" s="6"/>
      <c r="K176" s="6"/>
      <c r="M176" s="67"/>
      <c r="N176" s="6"/>
      <c r="O176" s="6"/>
      <c r="P176" s="6"/>
      <c r="Q176" s="6"/>
      <c r="R176" s="6"/>
      <c r="S176" s="6"/>
    </row>
    <row r="177" ht="15.75" customHeight="1">
      <c r="A177" s="67"/>
      <c r="B177" s="6"/>
      <c r="C177" s="6"/>
      <c r="D177" s="6"/>
      <c r="E177" s="6"/>
      <c r="F177" s="6"/>
      <c r="G177" s="6"/>
      <c r="H177" s="6"/>
      <c r="I177" s="6"/>
      <c r="J177" s="6"/>
      <c r="K177" s="6"/>
      <c r="M177" s="67"/>
      <c r="N177" s="6"/>
      <c r="O177" s="6"/>
      <c r="P177" s="6"/>
      <c r="Q177" s="6"/>
      <c r="R177" s="6"/>
      <c r="S177" s="6"/>
    </row>
    <row r="178" ht="15.75" customHeight="1">
      <c r="A178" s="67"/>
      <c r="B178" s="6"/>
      <c r="C178" s="6"/>
      <c r="D178" s="6"/>
      <c r="E178" s="6"/>
      <c r="F178" s="6"/>
      <c r="G178" s="6"/>
      <c r="H178" s="6"/>
      <c r="I178" s="6"/>
      <c r="J178" s="6"/>
      <c r="K178" s="6"/>
      <c r="M178" s="67"/>
      <c r="N178" s="6"/>
      <c r="O178" s="6"/>
      <c r="P178" s="6"/>
      <c r="Q178" s="6"/>
      <c r="R178" s="6"/>
      <c r="S178" s="6"/>
    </row>
    <row r="179" ht="15.75" customHeight="1">
      <c r="A179" s="67"/>
      <c r="B179" s="6"/>
      <c r="C179" s="6"/>
      <c r="D179" s="6"/>
      <c r="E179" s="6"/>
      <c r="F179" s="6"/>
      <c r="G179" s="6"/>
      <c r="H179" s="6"/>
      <c r="I179" s="6"/>
      <c r="J179" s="6"/>
      <c r="K179" s="6"/>
      <c r="M179" s="67"/>
      <c r="N179" s="6"/>
      <c r="O179" s="6"/>
      <c r="P179" s="6"/>
      <c r="Q179" s="6"/>
      <c r="R179" s="6"/>
      <c r="S179" s="6"/>
    </row>
    <row r="180" ht="15.75" customHeight="1">
      <c r="A180" s="67"/>
      <c r="B180" s="6"/>
      <c r="C180" s="6"/>
      <c r="D180" s="6"/>
      <c r="E180" s="6"/>
      <c r="F180" s="6"/>
      <c r="G180" s="6"/>
      <c r="H180" s="6"/>
      <c r="I180" s="6"/>
      <c r="J180" s="6"/>
      <c r="K180" s="6"/>
      <c r="M180" s="67"/>
      <c r="N180" s="6"/>
      <c r="O180" s="6"/>
      <c r="P180" s="6"/>
      <c r="Q180" s="6"/>
      <c r="R180" s="6"/>
      <c r="S180" s="6"/>
    </row>
    <row r="181" ht="15.75" customHeight="1">
      <c r="A181" s="67"/>
      <c r="B181" s="6"/>
      <c r="C181" s="6"/>
      <c r="D181" s="6"/>
      <c r="E181" s="6"/>
      <c r="F181" s="6"/>
      <c r="G181" s="6"/>
      <c r="H181" s="6"/>
      <c r="I181" s="6"/>
      <c r="J181" s="6"/>
      <c r="K181" s="6"/>
      <c r="M181" s="67"/>
      <c r="N181" s="6"/>
      <c r="O181" s="6"/>
      <c r="P181" s="6"/>
      <c r="Q181" s="6"/>
      <c r="R181" s="6"/>
      <c r="S181" s="6"/>
    </row>
    <row r="182" ht="15.75" customHeight="1">
      <c r="A182" s="67"/>
      <c r="B182" s="6"/>
      <c r="C182" s="6"/>
      <c r="D182" s="6"/>
      <c r="E182" s="6"/>
      <c r="F182" s="6"/>
      <c r="G182" s="6"/>
      <c r="H182" s="6"/>
      <c r="I182" s="6"/>
      <c r="J182" s="6"/>
      <c r="K182" s="6"/>
      <c r="M182" s="67"/>
      <c r="N182" s="6"/>
      <c r="O182" s="6"/>
      <c r="P182" s="6"/>
      <c r="Q182" s="6"/>
      <c r="R182" s="6"/>
      <c r="S182" s="6"/>
    </row>
    <row r="183" ht="15.75" customHeight="1">
      <c r="A183" s="67"/>
      <c r="B183" s="6"/>
      <c r="C183" s="6"/>
      <c r="D183" s="6"/>
      <c r="E183" s="6"/>
      <c r="F183" s="6"/>
      <c r="G183" s="6"/>
      <c r="H183" s="6"/>
      <c r="I183" s="6"/>
      <c r="J183" s="6"/>
      <c r="K183" s="6"/>
      <c r="M183" s="67"/>
      <c r="N183" s="6"/>
      <c r="O183" s="6"/>
      <c r="P183" s="6"/>
      <c r="Q183" s="6"/>
      <c r="R183" s="6"/>
      <c r="S183" s="6"/>
    </row>
    <row r="184" ht="15.75" customHeight="1">
      <c r="A184" s="67"/>
      <c r="B184" s="6"/>
      <c r="C184" s="6"/>
      <c r="D184" s="6"/>
      <c r="E184" s="6"/>
      <c r="F184" s="6"/>
      <c r="G184" s="6"/>
      <c r="H184" s="6"/>
      <c r="I184" s="6"/>
      <c r="J184" s="6"/>
      <c r="K184" s="6"/>
      <c r="M184" s="67"/>
      <c r="N184" s="6"/>
      <c r="O184" s="6"/>
      <c r="P184" s="6"/>
      <c r="Q184" s="6"/>
      <c r="R184" s="6"/>
      <c r="S184" s="6"/>
    </row>
    <row r="185" ht="15.75" customHeight="1">
      <c r="A185" s="67"/>
      <c r="B185" s="6"/>
      <c r="C185" s="6"/>
      <c r="D185" s="6"/>
      <c r="E185" s="6"/>
      <c r="F185" s="6"/>
      <c r="G185" s="6"/>
      <c r="H185" s="6"/>
      <c r="I185" s="6"/>
      <c r="J185" s="6"/>
      <c r="K185" s="6"/>
      <c r="M185" s="67"/>
      <c r="N185" s="6"/>
      <c r="O185" s="6"/>
      <c r="P185" s="6"/>
      <c r="Q185" s="6"/>
      <c r="R185" s="6"/>
      <c r="S185" s="6"/>
    </row>
    <row r="186" ht="15.75" customHeight="1">
      <c r="A186" s="67"/>
      <c r="B186" s="6"/>
      <c r="C186" s="6"/>
      <c r="D186" s="6"/>
      <c r="E186" s="6"/>
      <c r="F186" s="6"/>
      <c r="G186" s="6"/>
      <c r="H186" s="6"/>
      <c r="I186" s="6"/>
      <c r="J186" s="6"/>
      <c r="K186" s="6"/>
      <c r="M186" s="67"/>
      <c r="N186" s="6"/>
      <c r="O186" s="6"/>
      <c r="P186" s="6"/>
      <c r="Q186" s="6"/>
      <c r="R186" s="6"/>
      <c r="S186" s="6"/>
    </row>
    <row r="187" ht="15.75" customHeight="1">
      <c r="A187" s="67"/>
      <c r="B187" s="6"/>
      <c r="C187" s="6"/>
      <c r="D187" s="6"/>
      <c r="E187" s="6"/>
      <c r="F187" s="6"/>
      <c r="G187" s="6"/>
      <c r="H187" s="6"/>
      <c r="I187" s="6"/>
      <c r="J187" s="6"/>
      <c r="K187" s="6"/>
      <c r="M187" s="67"/>
      <c r="N187" s="6"/>
      <c r="O187" s="6"/>
      <c r="P187" s="6"/>
      <c r="Q187" s="6"/>
      <c r="R187" s="6"/>
      <c r="S187" s="6"/>
    </row>
    <row r="188" ht="15.75" customHeight="1">
      <c r="A188" s="67"/>
      <c r="B188" s="6"/>
      <c r="C188" s="6"/>
      <c r="D188" s="6"/>
      <c r="E188" s="6"/>
      <c r="F188" s="6"/>
      <c r="G188" s="6"/>
      <c r="H188" s="6"/>
      <c r="I188" s="6"/>
      <c r="J188" s="6"/>
      <c r="K188" s="6"/>
      <c r="M188" s="67"/>
      <c r="N188" s="6"/>
      <c r="O188" s="6"/>
      <c r="P188" s="6"/>
      <c r="Q188" s="6"/>
      <c r="R188" s="6"/>
      <c r="S188" s="6"/>
    </row>
    <row r="189" ht="15.75" customHeight="1">
      <c r="A189" s="67"/>
      <c r="B189" s="6"/>
      <c r="C189" s="6"/>
      <c r="D189" s="6"/>
      <c r="E189" s="6"/>
      <c r="F189" s="6"/>
      <c r="G189" s="6"/>
      <c r="H189" s="6"/>
      <c r="I189" s="6"/>
      <c r="J189" s="6"/>
      <c r="K189" s="6"/>
      <c r="M189" s="67"/>
      <c r="N189" s="6"/>
      <c r="O189" s="6"/>
      <c r="P189" s="6"/>
      <c r="Q189" s="6"/>
      <c r="R189" s="6"/>
      <c r="S189" s="6"/>
    </row>
    <row r="190" ht="15.75" customHeight="1">
      <c r="A190" s="67"/>
      <c r="B190" s="6"/>
      <c r="C190" s="6"/>
      <c r="D190" s="6"/>
      <c r="E190" s="6"/>
      <c r="F190" s="6"/>
      <c r="G190" s="6"/>
      <c r="H190" s="6"/>
      <c r="I190" s="6"/>
      <c r="J190" s="6"/>
      <c r="K190" s="6"/>
      <c r="M190" s="67"/>
      <c r="N190" s="6"/>
      <c r="O190" s="6"/>
      <c r="P190" s="6"/>
      <c r="Q190" s="6"/>
      <c r="R190" s="6"/>
      <c r="S190" s="6"/>
    </row>
    <row r="191" ht="15.75" customHeight="1">
      <c r="A191" s="67"/>
      <c r="B191" s="6"/>
      <c r="C191" s="6"/>
      <c r="D191" s="6"/>
      <c r="E191" s="6"/>
      <c r="F191" s="6"/>
      <c r="G191" s="6"/>
      <c r="H191" s="6"/>
      <c r="I191" s="6"/>
      <c r="J191" s="6"/>
      <c r="K191" s="6"/>
      <c r="M191" s="67"/>
      <c r="N191" s="6"/>
      <c r="O191" s="6"/>
      <c r="P191" s="6"/>
      <c r="Q191" s="6"/>
      <c r="R191" s="6"/>
      <c r="S191" s="6"/>
    </row>
    <row r="192" ht="15.75" customHeight="1">
      <c r="A192" s="67"/>
      <c r="B192" s="6"/>
      <c r="C192" s="6"/>
      <c r="D192" s="6"/>
      <c r="E192" s="6"/>
      <c r="F192" s="6"/>
      <c r="G192" s="6"/>
      <c r="H192" s="6"/>
      <c r="I192" s="6"/>
      <c r="J192" s="6"/>
      <c r="K192" s="6"/>
      <c r="M192" s="67"/>
      <c r="N192" s="6"/>
      <c r="O192" s="6"/>
      <c r="P192" s="6"/>
      <c r="Q192" s="6"/>
      <c r="R192" s="6"/>
      <c r="S192" s="6"/>
    </row>
    <row r="193" ht="15.75" customHeight="1">
      <c r="A193" s="67"/>
      <c r="B193" s="6"/>
      <c r="C193" s="6"/>
      <c r="D193" s="6"/>
      <c r="E193" s="6"/>
      <c r="F193" s="6"/>
      <c r="G193" s="6"/>
      <c r="H193" s="6"/>
      <c r="I193" s="6"/>
      <c r="J193" s="6"/>
      <c r="K193" s="6"/>
      <c r="M193" s="67"/>
      <c r="N193" s="6"/>
      <c r="O193" s="6"/>
      <c r="P193" s="6"/>
      <c r="Q193" s="6"/>
      <c r="R193" s="6"/>
      <c r="S193" s="6"/>
    </row>
    <row r="194" ht="15.75" customHeight="1">
      <c r="A194" s="67"/>
      <c r="B194" s="6"/>
      <c r="C194" s="6"/>
      <c r="D194" s="6"/>
      <c r="E194" s="6"/>
      <c r="F194" s="6"/>
      <c r="G194" s="6"/>
      <c r="H194" s="6"/>
      <c r="I194" s="6"/>
      <c r="J194" s="6"/>
      <c r="K194" s="6"/>
      <c r="M194" s="67"/>
      <c r="N194" s="6"/>
      <c r="O194" s="6"/>
      <c r="P194" s="6"/>
      <c r="Q194" s="6"/>
      <c r="R194" s="6"/>
      <c r="S194" s="6"/>
    </row>
    <row r="195" ht="15.75" customHeight="1">
      <c r="A195" s="67"/>
      <c r="B195" s="6"/>
      <c r="C195" s="6"/>
      <c r="D195" s="6"/>
      <c r="E195" s="6"/>
      <c r="F195" s="6"/>
      <c r="G195" s="6"/>
      <c r="H195" s="6"/>
      <c r="I195" s="6"/>
      <c r="J195" s="6"/>
      <c r="K195" s="6"/>
      <c r="M195" s="67"/>
      <c r="N195" s="6"/>
      <c r="O195" s="6"/>
      <c r="P195" s="6"/>
      <c r="Q195" s="6"/>
      <c r="R195" s="6"/>
      <c r="S195" s="6"/>
    </row>
    <row r="196" ht="15.75" customHeight="1">
      <c r="A196" s="67"/>
      <c r="B196" s="6"/>
      <c r="C196" s="6"/>
      <c r="D196" s="6"/>
      <c r="E196" s="6"/>
      <c r="F196" s="6"/>
      <c r="G196" s="6"/>
      <c r="H196" s="6"/>
      <c r="I196" s="6"/>
      <c r="J196" s="6"/>
      <c r="K196" s="6"/>
      <c r="M196" s="67"/>
      <c r="N196" s="6"/>
      <c r="O196" s="6"/>
      <c r="P196" s="6"/>
      <c r="Q196" s="6"/>
      <c r="R196" s="6"/>
      <c r="S196" s="6"/>
    </row>
    <row r="197" ht="15.75" customHeight="1">
      <c r="A197" s="67"/>
      <c r="B197" s="6"/>
      <c r="C197" s="6"/>
      <c r="D197" s="6"/>
      <c r="E197" s="6"/>
      <c r="F197" s="6"/>
      <c r="G197" s="6"/>
      <c r="H197" s="6"/>
      <c r="I197" s="6"/>
      <c r="J197" s="6"/>
      <c r="K197" s="6"/>
      <c r="M197" s="67"/>
      <c r="N197" s="6"/>
      <c r="O197" s="6"/>
      <c r="P197" s="6"/>
      <c r="Q197" s="6"/>
      <c r="R197" s="6"/>
      <c r="S197" s="6"/>
    </row>
    <row r="198" ht="15.75" customHeight="1">
      <c r="A198" s="67"/>
      <c r="B198" s="6"/>
      <c r="C198" s="6"/>
      <c r="D198" s="6"/>
      <c r="E198" s="6"/>
      <c r="F198" s="6"/>
      <c r="G198" s="6"/>
      <c r="H198" s="6"/>
      <c r="I198" s="6"/>
      <c r="J198" s="6"/>
      <c r="K198" s="6"/>
      <c r="M198" s="67"/>
      <c r="N198" s="6"/>
      <c r="O198" s="6"/>
      <c r="P198" s="6"/>
      <c r="Q198" s="6"/>
      <c r="R198" s="6"/>
      <c r="S198" s="6"/>
    </row>
    <row r="199" ht="15.75" customHeight="1">
      <c r="A199" s="67"/>
      <c r="B199" s="6"/>
      <c r="C199" s="6"/>
      <c r="D199" s="6"/>
      <c r="E199" s="6"/>
      <c r="F199" s="6"/>
      <c r="G199" s="6"/>
      <c r="H199" s="6"/>
      <c r="I199" s="6"/>
      <c r="J199" s="6"/>
      <c r="K199" s="6"/>
      <c r="M199" s="67"/>
      <c r="N199" s="6"/>
      <c r="O199" s="6"/>
      <c r="P199" s="6"/>
      <c r="Q199" s="6"/>
      <c r="R199" s="6"/>
      <c r="S199" s="6"/>
    </row>
    <row r="200" ht="15.75" customHeight="1"/>
    <row r="201" ht="15.75" customHeight="1"/>
    <row r="202" ht="15.75" customHeight="1"/>
    <row r="203" ht="15.75" customHeight="1">
      <c r="A203" s="67"/>
      <c r="B203" s="6"/>
      <c r="C203" s="6" t="s">
        <v>15</v>
      </c>
      <c r="D203" s="6" t="s">
        <v>24</v>
      </c>
      <c r="E203" s="6" t="s">
        <v>55</v>
      </c>
      <c r="F203" s="6" t="s">
        <v>45</v>
      </c>
      <c r="G203" s="6" t="s">
        <v>46</v>
      </c>
      <c r="H203" s="6"/>
      <c r="I203" s="6"/>
      <c r="J203" s="6"/>
      <c r="K203" s="6"/>
      <c r="M203" s="79"/>
      <c r="O203" s="23"/>
      <c r="P203" s="23" t="s">
        <v>20</v>
      </c>
    </row>
    <row r="204" ht="15.75" customHeight="1">
      <c r="A204" s="67"/>
      <c r="B204" s="6"/>
      <c r="C204" s="6" t="s">
        <v>27</v>
      </c>
      <c r="D204" s="6" t="s">
        <v>28</v>
      </c>
      <c r="E204" s="6" t="s">
        <v>17</v>
      </c>
      <c r="F204" s="6" t="s">
        <v>18</v>
      </c>
      <c r="G204" s="6" t="s">
        <v>19</v>
      </c>
      <c r="H204" s="6"/>
      <c r="I204" s="6"/>
      <c r="J204" s="6"/>
      <c r="K204" s="6"/>
      <c r="M204" s="79"/>
      <c r="O204" s="23"/>
      <c r="P204" s="23" t="s">
        <v>8</v>
      </c>
    </row>
    <row r="205" ht="15.75" customHeight="1">
      <c r="D205" s="6" t="s">
        <v>34</v>
      </c>
      <c r="E205" s="6"/>
      <c r="F205" s="6"/>
      <c r="G205" s="6"/>
      <c r="P205" s="23" t="s">
        <v>9</v>
      </c>
    </row>
    <row r="206" ht="15.75" customHeight="1">
      <c r="B206" s="6"/>
      <c r="D206" s="6" t="s">
        <v>37</v>
      </c>
      <c r="E206" s="6"/>
      <c r="F206" s="6"/>
      <c r="G206" s="6"/>
      <c r="P206" s="23" t="s">
        <v>10</v>
      </c>
    </row>
    <row r="207" ht="15.75" customHeight="1">
      <c r="D207" s="6" t="s">
        <v>40</v>
      </c>
      <c r="E207" s="6"/>
      <c r="F207" s="6"/>
      <c r="G207" s="6"/>
      <c r="P207" s="23" t="s">
        <v>108</v>
      </c>
    </row>
    <row r="208" ht="15.75" customHeight="1">
      <c r="D208" s="6" t="s">
        <v>181</v>
      </c>
      <c r="E208" s="6"/>
      <c r="F208" s="6"/>
      <c r="G208" s="6"/>
    </row>
    <row r="209" ht="15.75" customHeight="1">
      <c r="D209" s="6" t="s">
        <v>16</v>
      </c>
      <c r="E209" s="6"/>
      <c r="F209" s="6"/>
      <c r="G209" s="6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K$198">
    <sortState ref="A1:K198">
      <sortCondition ref="C1:C198"/>
      <sortCondition ref="A1:A198"/>
    </sortState>
  </autoFilter>
  <mergeCells count="3">
    <mergeCell ref="V33:Z33"/>
    <mergeCell ref="V44:Z44"/>
    <mergeCell ref="V52:Z52"/>
  </mergeCells>
  <dataValidations>
    <dataValidation type="list" allowBlank="1" showErrorMessage="1" sqref="C2:C199 O25:O199 C203:C204 O203:O204 B206">
      <formula1>"EFECTIVO,TRANSFERENCIA"</formula1>
    </dataValidation>
    <dataValidation type="list" allowBlank="1" sqref="Q25:Q199">
      <formula1>"FIJOS MENSUALES,JUDICIALES,EXTRAS"</formula1>
    </dataValidation>
    <dataValidation type="list" allowBlank="1" showErrorMessage="1" sqref="E2:E199 E203:E209">
      <formula1>"CAMPAÑA,DERIVADO"</formula1>
    </dataValidation>
    <dataValidation type="list" allowBlank="1" showErrorMessage="1" sqref="P25:P199 P203:P207">
      <formula1>"RODRI,NOE,ALE,FABRI,CJ NOA"</formula1>
    </dataValidation>
    <dataValidation type="list" allowBlank="1" showErrorMessage="1" sqref="F2:F199 F203:F209">
      <formula1>"NUEVO,VIEJO"</formula1>
    </dataValidation>
    <dataValidation type="list" allowBlank="1" showErrorMessage="1" sqref="D2:D199 D203:D209">
      <formula1>"SUCESORIO,REALES,JUBILACIONES,UCAP,CREDITOS,DIVORCIO,OTROS"</formula1>
    </dataValidation>
    <dataValidation type="list" allowBlank="1" showErrorMessage="1" sqref="G2:G199 G203:G209">
      <formula1>"CONSULTA,HONORARIOS"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2023-07-19T22:38:01Z</dcterms:created>
  <dc:creator>User</dc:creator>
</cp:coreProperties>
</file>